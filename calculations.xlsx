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B:\личное-работа\дисконтирование кредитов\"/>
    </mc:Choice>
  </mc:AlternateContent>
  <xr:revisionPtr revIDLastSave="0" documentId="13_ncr:1_{DD0ABB92-73FD-47D2-9DE5-C3EBBD5A6F8C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INPUT" sheetId="7" r:id="rId1"/>
    <sheet name="Annuity" sheetId="2" r:id="rId2"/>
    <sheet name="Differentiated" sheetId="3" r:id="rId3"/>
    <sheet name="Analysis" sheetId="8" r:id="rId4"/>
    <sheet name="Default_Risk" sheetId="9" r:id="rId5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0" i="9" l="1"/>
  <c r="D29" i="9"/>
  <c r="D28" i="9"/>
  <c r="D27" i="9"/>
  <c r="D25" i="9"/>
  <c r="D24" i="9"/>
  <c r="D23" i="9"/>
  <c r="D21" i="9"/>
  <c r="D20" i="9"/>
  <c r="D19" i="9"/>
  <c r="D18" i="9"/>
  <c r="D17" i="9"/>
  <c r="L51" i="9"/>
  <c r="G77" i="9"/>
  <c r="H77" i="9"/>
  <c r="P5" i="9"/>
  <c r="O5" i="9"/>
  <c r="H6" i="9"/>
  <c r="H7" i="9"/>
  <c r="H8" i="9"/>
  <c r="H9" i="9"/>
  <c r="H10" i="9"/>
  <c r="H11" i="9"/>
  <c r="H12" i="9"/>
  <c r="J12" i="9" s="1"/>
  <c r="L12" i="9" s="1"/>
  <c r="H13" i="9"/>
  <c r="J13" i="9" s="1"/>
  <c r="L13" i="9" s="1"/>
  <c r="H14" i="9"/>
  <c r="H15" i="9"/>
  <c r="J15" i="9" s="1"/>
  <c r="L15" i="9" s="1"/>
  <c r="H16" i="9"/>
  <c r="J16" i="9" s="1"/>
  <c r="L16" i="9" s="1"/>
  <c r="H17" i="9"/>
  <c r="J17" i="9" s="1"/>
  <c r="L17" i="9" s="1"/>
  <c r="H18" i="9"/>
  <c r="H19" i="9"/>
  <c r="H20" i="9"/>
  <c r="H21" i="9"/>
  <c r="H22" i="9"/>
  <c r="H23" i="9"/>
  <c r="H24" i="9"/>
  <c r="J24" i="9" s="1"/>
  <c r="L24" i="9" s="1"/>
  <c r="H25" i="9"/>
  <c r="J25" i="9" s="1"/>
  <c r="L25" i="9" s="1"/>
  <c r="H26" i="9"/>
  <c r="J26" i="9" s="1"/>
  <c r="L26" i="9" s="1"/>
  <c r="H27" i="9"/>
  <c r="J27" i="9" s="1"/>
  <c r="L27" i="9" s="1"/>
  <c r="H28" i="9"/>
  <c r="J28" i="9" s="1"/>
  <c r="L28" i="9" s="1"/>
  <c r="H29" i="9"/>
  <c r="J29" i="9" s="1"/>
  <c r="L29" i="9" s="1"/>
  <c r="H30" i="9"/>
  <c r="H31" i="9"/>
  <c r="H32" i="9"/>
  <c r="H33" i="9"/>
  <c r="H34" i="9"/>
  <c r="H35" i="9"/>
  <c r="H36" i="9"/>
  <c r="J36" i="9" s="1"/>
  <c r="L36" i="9" s="1"/>
  <c r="H37" i="9"/>
  <c r="J37" i="9" s="1"/>
  <c r="L37" i="9" s="1"/>
  <c r="H38" i="9"/>
  <c r="J38" i="9" s="1"/>
  <c r="L38" i="9" s="1"/>
  <c r="H39" i="9"/>
  <c r="J39" i="9" s="1"/>
  <c r="L39" i="9" s="1"/>
  <c r="H40" i="9"/>
  <c r="J40" i="9" s="1"/>
  <c r="L40" i="9" s="1"/>
  <c r="H41" i="9"/>
  <c r="J41" i="9" s="1"/>
  <c r="L41" i="9" s="1"/>
  <c r="H42" i="9"/>
  <c r="H43" i="9"/>
  <c r="H44" i="9"/>
  <c r="H45" i="9"/>
  <c r="H46" i="9"/>
  <c r="H47" i="9"/>
  <c r="H48" i="9"/>
  <c r="J48" i="9" s="1"/>
  <c r="L48" i="9" s="1"/>
  <c r="H49" i="9"/>
  <c r="J49" i="9" s="1"/>
  <c r="L49" i="9" s="1"/>
  <c r="H50" i="9"/>
  <c r="J50" i="9" s="1"/>
  <c r="L50" i="9" s="1"/>
  <c r="H51" i="9"/>
  <c r="J51" i="9" s="1"/>
  <c r="H52" i="9"/>
  <c r="J52" i="9" s="1"/>
  <c r="L52" i="9" s="1"/>
  <c r="H53" i="9"/>
  <c r="J53" i="9" s="1"/>
  <c r="L53" i="9" s="1"/>
  <c r="H54" i="9"/>
  <c r="H55" i="9"/>
  <c r="H56" i="9"/>
  <c r="H57" i="9"/>
  <c r="J57" i="9" s="1"/>
  <c r="L57" i="9" s="1"/>
  <c r="H58" i="9"/>
  <c r="H59" i="9"/>
  <c r="H60" i="9"/>
  <c r="J60" i="9" s="1"/>
  <c r="L60" i="9" s="1"/>
  <c r="H61" i="9"/>
  <c r="J61" i="9" s="1"/>
  <c r="L61" i="9" s="1"/>
  <c r="H62" i="9"/>
  <c r="J62" i="9" s="1"/>
  <c r="L62" i="9" s="1"/>
  <c r="H63" i="9"/>
  <c r="J63" i="9" s="1"/>
  <c r="L63" i="9" s="1"/>
  <c r="H64" i="9"/>
  <c r="J64" i="9" s="1"/>
  <c r="L64" i="9" s="1"/>
  <c r="H65" i="9"/>
  <c r="J65" i="9" s="1"/>
  <c r="L65" i="9" s="1"/>
  <c r="H66" i="9"/>
  <c r="H67" i="9"/>
  <c r="H68" i="9"/>
  <c r="H69" i="9"/>
  <c r="J69" i="9" s="1"/>
  <c r="L69" i="9" s="1"/>
  <c r="H70" i="9"/>
  <c r="H71" i="9"/>
  <c r="H72" i="9"/>
  <c r="J72" i="9" s="1"/>
  <c r="L72" i="9" s="1"/>
  <c r="H73" i="9"/>
  <c r="J73" i="9" s="1"/>
  <c r="L73" i="9" s="1"/>
  <c r="H74" i="9"/>
  <c r="J74" i="9" s="1"/>
  <c r="L74" i="9" s="1"/>
  <c r="H75" i="9"/>
  <c r="J75" i="9" s="1"/>
  <c r="L75" i="9" s="1"/>
  <c r="H76" i="9"/>
  <c r="J76" i="9" s="1"/>
  <c r="L76" i="9" s="1"/>
  <c r="H5" i="9"/>
  <c r="J5" i="9" s="1"/>
  <c r="L5" i="9" s="1"/>
  <c r="G6" i="9"/>
  <c r="I6" i="9" s="1"/>
  <c r="K6" i="9" s="1"/>
  <c r="G7" i="9"/>
  <c r="G8" i="9"/>
  <c r="G9" i="9"/>
  <c r="G10" i="9"/>
  <c r="G11" i="9"/>
  <c r="G12" i="9"/>
  <c r="I12" i="9" s="1"/>
  <c r="K12" i="9" s="1"/>
  <c r="G13" i="9"/>
  <c r="I13" i="9" s="1"/>
  <c r="K13" i="9" s="1"/>
  <c r="G14" i="9"/>
  <c r="G15" i="9"/>
  <c r="G16" i="9"/>
  <c r="I16" i="9" s="1"/>
  <c r="K16" i="9" s="1"/>
  <c r="G17" i="9"/>
  <c r="I17" i="9" s="1"/>
  <c r="K17" i="9" s="1"/>
  <c r="G18" i="9"/>
  <c r="I18" i="9" s="1"/>
  <c r="K18" i="9" s="1"/>
  <c r="G19" i="9"/>
  <c r="G20" i="9"/>
  <c r="G21" i="9"/>
  <c r="G22" i="9"/>
  <c r="G23" i="9"/>
  <c r="G24" i="9"/>
  <c r="I24" i="9" s="1"/>
  <c r="K24" i="9" s="1"/>
  <c r="G25" i="9"/>
  <c r="I25" i="9" s="1"/>
  <c r="K25" i="9" s="1"/>
  <c r="G26" i="9"/>
  <c r="G27" i="9"/>
  <c r="G28" i="9"/>
  <c r="I28" i="9" s="1"/>
  <c r="K28" i="9" s="1"/>
  <c r="G29" i="9"/>
  <c r="I29" i="9" s="1"/>
  <c r="K29" i="9" s="1"/>
  <c r="G30" i="9"/>
  <c r="I30" i="9" s="1"/>
  <c r="K30" i="9" s="1"/>
  <c r="G31" i="9"/>
  <c r="G32" i="9"/>
  <c r="G33" i="9"/>
  <c r="G34" i="9"/>
  <c r="G35" i="9"/>
  <c r="G36" i="9"/>
  <c r="I36" i="9" s="1"/>
  <c r="K36" i="9" s="1"/>
  <c r="G37" i="9"/>
  <c r="I37" i="9" s="1"/>
  <c r="K37" i="9" s="1"/>
  <c r="G38" i="9"/>
  <c r="G39" i="9"/>
  <c r="G40" i="9"/>
  <c r="I40" i="9" s="1"/>
  <c r="K40" i="9" s="1"/>
  <c r="G41" i="9"/>
  <c r="I41" i="9" s="1"/>
  <c r="K41" i="9" s="1"/>
  <c r="G42" i="9"/>
  <c r="I42" i="9" s="1"/>
  <c r="K42" i="9" s="1"/>
  <c r="G43" i="9"/>
  <c r="G44" i="9"/>
  <c r="G45" i="9"/>
  <c r="G46" i="9"/>
  <c r="G47" i="9"/>
  <c r="G48" i="9"/>
  <c r="I48" i="9" s="1"/>
  <c r="K48" i="9" s="1"/>
  <c r="G49" i="9"/>
  <c r="I49" i="9" s="1"/>
  <c r="K49" i="9" s="1"/>
  <c r="G50" i="9"/>
  <c r="G51" i="9"/>
  <c r="G52" i="9"/>
  <c r="I52" i="9" s="1"/>
  <c r="K52" i="9" s="1"/>
  <c r="G53" i="9"/>
  <c r="I53" i="9" s="1"/>
  <c r="K53" i="9" s="1"/>
  <c r="G54" i="9"/>
  <c r="I54" i="9" s="1"/>
  <c r="K54" i="9" s="1"/>
  <c r="G55" i="9"/>
  <c r="G56" i="9"/>
  <c r="G57" i="9"/>
  <c r="G58" i="9"/>
  <c r="G59" i="9"/>
  <c r="G60" i="9"/>
  <c r="I60" i="9" s="1"/>
  <c r="K60" i="9" s="1"/>
  <c r="G61" i="9"/>
  <c r="I61" i="9" s="1"/>
  <c r="K61" i="9" s="1"/>
  <c r="G62" i="9"/>
  <c r="G63" i="9"/>
  <c r="G64" i="9"/>
  <c r="I64" i="9" s="1"/>
  <c r="K64" i="9" s="1"/>
  <c r="G65" i="9"/>
  <c r="I65" i="9" s="1"/>
  <c r="K65" i="9" s="1"/>
  <c r="G66" i="9"/>
  <c r="I66" i="9" s="1"/>
  <c r="K66" i="9" s="1"/>
  <c r="G67" i="9"/>
  <c r="G68" i="9"/>
  <c r="G69" i="9"/>
  <c r="G70" i="9"/>
  <c r="G71" i="9"/>
  <c r="G72" i="9"/>
  <c r="I72" i="9" s="1"/>
  <c r="K72" i="9" s="1"/>
  <c r="G73" i="9"/>
  <c r="I73" i="9" s="1"/>
  <c r="K73" i="9" s="1"/>
  <c r="G74" i="9"/>
  <c r="G75" i="9"/>
  <c r="G76" i="9"/>
  <c r="I76" i="9" s="1"/>
  <c r="K76" i="9" s="1"/>
  <c r="G5" i="9"/>
  <c r="J6" i="9"/>
  <c r="L6" i="9" s="1"/>
  <c r="J7" i="9"/>
  <c r="L7" i="9" s="1"/>
  <c r="J8" i="9"/>
  <c r="L8" i="9" s="1"/>
  <c r="J9" i="9"/>
  <c r="L9" i="9" s="1"/>
  <c r="J10" i="9"/>
  <c r="L10" i="9" s="1"/>
  <c r="J11" i="9"/>
  <c r="L11" i="9" s="1"/>
  <c r="J14" i="9"/>
  <c r="L14" i="9" s="1"/>
  <c r="J18" i="9"/>
  <c r="L18" i="9" s="1"/>
  <c r="J19" i="9"/>
  <c r="L19" i="9" s="1"/>
  <c r="J20" i="9"/>
  <c r="L20" i="9" s="1"/>
  <c r="J21" i="9"/>
  <c r="L21" i="9" s="1"/>
  <c r="J22" i="9"/>
  <c r="L22" i="9" s="1"/>
  <c r="J23" i="9"/>
  <c r="L23" i="9" s="1"/>
  <c r="J30" i="9"/>
  <c r="L30" i="9" s="1"/>
  <c r="J31" i="9"/>
  <c r="L31" i="9" s="1"/>
  <c r="J32" i="9"/>
  <c r="L32" i="9" s="1"/>
  <c r="J33" i="9"/>
  <c r="L33" i="9" s="1"/>
  <c r="J34" i="9"/>
  <c r="L34" i="9" s="1"/>
  <c r="J35" i="9"/>
  <c r="L35" i="9" s="1"/>
  <c r="J42" i="9"/>
  <c r="L42" i="9" s="1"/>
  <c r="J43" i="9"/>
  <c r="L43" i="9" s="1"/>
  <c r="J44" i="9"/>
  <c r="L44" i="9" s="1"/>
  <c r="J45" i="9"/>
  <c r="L45" i="9" s="1"/>
  <c r="J46" i="9"/>
  <c r="L46" i="9" s="1"/>
  <c r="J47" i="9"/>
  <c r="L47" i="9" s="1"/>
  <c r="J54" i="9"/>
  <c r="L54" i="9" s="1"/>
  <c r="J55" i="9"/>
  <c r="L55" i="9" s="1"/>
  <c r="J56" i="9"/>
  <c r="L56" i="9" s="1"/>
  <c r="J58" i="9"/>
  <c r="L58" i="9" s="1"/>
  <c r="J59" i="9"/>
  <c r="L59" i="9" s="1"/>
  <c r="J66" i="9"/>
  <c r="L66" i="9" s="1"/>
  <c r="J67" i="9"/>
  <c r="L67" i="9" s="1"/>
  <c r="J68" i="9"/>
  <c r="L68" i="9" s="1"/>
  <c r="J70" i="9"/>
  <c r="L70" i="9" s="1"/>
  <c r="J71" i="9"/>
  <c r="L71" i="9" s="1"/>
  <c r="I7" i="9"/>
  <c r="K7" i="9" s="1"/>
  <c r="I8" i="9"/>
  <c r="K8" i="9" s="1"/>
  <c r="I9" i="9"/>
  <c r="K9" i="9" s="1"/>
  <c r="I10" i="9"/>
  <c r="K10" i="9" s="1"/>
  <c r="I11" i="9"/>
  <c r="K11" i="9" s="1"/>
  <c r="I14" i="9"/>
  <c r="K14" i="9" s="1"/>
  <c r="I15" i="9"/>
  <c r="K15" i="9" s="1"/>
  <c r="I19" i="9"/>
  <c r="K19" i="9" s="1"/>
  <c r="I20" i="9"/>
  <c r="K20" i="9" s="1"/>
  <c r="I21" i="9"/>
  <c r="K21" i="9" s="1"/>
  <c r="I22" i="9"/>
  <c r="K22" i="9" s="1"/>
  <c r="I23" i="9"/>
  <c r="K23" i="9" s="1"/>
  <c r="I26" i="9"/>
  <c r="K26" i="9" s="1"/>
  <c r="I27" i="9"/>
  <c r="K27" i="9" s="1"/>
  <c r="I31" i="9"/>
  <c r="K31" i="9" s="1"/>
  <c r="I32" i="9"/>
  <c r="K32" i="9" s="1"/>
  <c r="I33" i="9"/>
  <c r="K33" i="9" s="1"/>
  <c r="I34" i="9"/>
  <c r="K34" i="9" s="1"/>
  <c r="I35" i="9"/>
  <c r="K35" i="9" s="1"/>
  <c r="I38" i="9"/>
  <c r="K38" i="9" s="1"/>
  <c r="I39" i="9"/>
  <c r="K39" i="9" s="1"/>
  <c r="I43" i="9"/>
  <c r="K43" i="9" s="1"/>
  <c r="I44" i="9"/>
  <c r="K44" i="9" s="1"/>
  <c r="I45" i="9"/>
  <c r="K45" i="9" s="1"/>
  <c r="I46" i="9"/>
  <c r="K46" i="9" s="1"/>
  <c r="I47" i="9"/>
  <c r="K47" i="9" s="1"/>
  <c r="I50" i="9"/>
  <c r="K50" i="9" s="1"/>
  <c r="I51" i="9"/>
  <c r="K51" i="9" s="1"/>
  <c r="I55" i="9"/>
  <c r="K55" i="9" s="1"/>
  <c r="I56" i="9"/>
  <c r="K56" i="9" s="1"/>
  <c r="I57" i="9"/>
  <c r="K57" i="9" s="1"/>
  <c r="I58" i="9"/>
  <c r="K58" i="9" s="1"/>
  <c r="I59" i="9"/>
  <c r="K59" i="9" s="1"/>
  <c r="I62" i="9"/>
  <c r="K62" i="9" s="1"/>
  <c r="I63" i="9"/>
  <c r="K63" i="9" s="1"/>
  <c r="I67" i="9"/>
  <c r="K67" i="9" s="1"/>
  <c r="I68" i="9"/>
  <c r="K68" i="9" s="1"/>
  <c r="I69" i="9"/>
  <c r="K69" i="9" s="1"/>
  <c r="I70" i="9"/>
  <c r="K70" i="9" s="1"/>
  <c r="I71" i="9"/>
  <c r="K71" i="9" s="1"/>
  <c r="I74" i="9"/>
  <c r="K74" i="9" s="1"/>
  <c r="I75" i="9"/>
  <c r="K75" i="9" s="1"/>
  <c r="I5" i="9"/>
  <c r="K5" i="9" s="1"/>
  <c r="D7" i="9"/>
  <c r="G7" i="3"/>
  <c r="E15" i="3"/>
  <c r="G15" i="8" s="1"/>
  <c r="H15" i="8" s="1"/>
  <c r="E16" i="3"/>
  <c r="G16" i="8" s="1"/>
  <c r="H16" i="8" s="1"/>
  <c r="E17" i="3"/>
  <c r="G17" i="8" s="1"/>
  <c r="H17" i="8" s="1"/>
  <c r="E18" i="3"/>
  <c r="G18" i="8" s="1"/>
  <c r="H18" i="8" s="1"/>
  <c r="E19" i="3"/>
  <c r="G19" i="8" s="1"/>
  <c r="H19" i="8" s="1"/>
  <c r="E20" i="3"/>
  <c r="G20" i="8" s="1"/>
  <c r="H20" i="8" s="1"/>
  <c r="E21" i="3"/>
  <c r="G21" i="8" s="1"/>
  <c r="H21" i="8" s="1"/>
  <c r="E22" i="3"/>
  <c r="G22" i="8" s="1"/>
  <c r="H22" i="8" s="1"/>
  <c r="E23" i="3"/>
  <c r="G23" i="8" s="1"/>
  <c r="H23" i="8" s="1"/>
  <c r="E24" i="3"/>
  <c r="G24" i="8" s="1"/>
  <c r="H24" i="8" s="1"/>
  <c r="E25" i="3"/>
  <c r="G25" i="8" s="1"/>
  <c r="H25" i="8" s="1"/>
  <c r="E26" i="3"/>
  <c r="G26" i="8" s="1"/>
  <c r="H26" i="8" s="1"/>
  <c r="E27" i="3"/>
  <c r="G27" i="8" s="1"/>
  <c r="H27" i="8" s="1"/>
  <c r="E28" i="3"/>
  <c r="G28" i="8" s="1"/>
  <c r="H28" i="8" s="1"/>
  <c r="E29" i="3"/>
  <c r="G29" i="8" s="1"/>
  <c r="H29" i="8" s="1"/>
  <c r="E30" i="3"/>
  <c r="G30" i="8" s="1"/>
  <c r="H30" i="8" s="1"/>
  <c r="E31" i="3"/>
  <c r="G31" i="8" s="1"/>
  <c r="H31" i="8" s="1"/>
  <c r="E32" i="3"/>
  <c r="G32" i="8" s="1"/>
  <c r="H32" i="8" s="1"/>
  <c r="E33" i="3"/>
  <c r="G33" i="8" s="1"/>
  <c r="H33" i="8" s="1"/>
  <c r="E34" i="3"/>
  <c r="G34" i="8" s="1"/>
  <c r="H34" i="8" s="1"/>
  <c r="E35" i="3"/>
  <c r="G35" i="8" s="1"/>
  <c r="H35" i="8" s="1"/>
  <c r="E36" i="3"/>
  <c r="G36" i="8" s="1"/>
  <c r="H36" i="8" s="1"/>
  <c r="E37" i="3"/>
  <c r="G37" i="8" s="1"/>
  <c r="H37" i="8" s="1"/>
  <c r="E38" i="3"/>
  <c r="G38" i="8" s="1"/>
  <c r="H38" i="8" s="1"/>
  <c r="E39" i="3"/>
  <c r="G39" i="8" s="1"/>
  <c r="H39" i="8" s="1"/>
  <c r="E40" i="3"/>
  <c r="G40" i="8" s="1"/>
  <c r="H40" i="8" s="1"/>
  <c r="E41" i="3"/>
  <c r="G41" i="8" s="1"/>
  <c r="H41" i="8" s="1"/>
  <c r="E42" i="3"/>
  <c r="G42" i="8" s="1"/>
  <c r="H42" i="8" s="1"/>
  <c r="E43" i="3"/>
  <c r="G43" i="8" s="1"/>
  <c r="H43" i="8" s="1"/>
  <c r="E44" i="3"/>
  <c r="G44" i="8" s="1"/>
  <c r="H44" i="8" s="1"/>
  <c r="E45" i="3"/>
  <c r="G45" i="8" s="1"/>
  <c r="H45" i="8" s="1"/>
  <c r="E46" i="3"/>
  <c r="G46" i="8" s="1"/>
  <c r="H46" i="8" s="1"/>
  <c r="E47" i="3"/>
  <c r="G47" i="8" s="1"/>
  <c r="H47" i="8" s="1"/>
  <c r="E48" i="3"/>
  <c r="G48" i="8" s="1"/>
  <c r="H48" i="8" s="1"/>
  <c r="E49" i="3"/>
  <c r="G49" i="8" s="1"/>
  <c r="H49" i="8" s="1"/>
  <c r="E50" i="3"/>
  <c r="G50" i="8" s="1"/>
  <c r="H50" i="8" s="1"/>
  <c r="E51" i="3"/>
  <c r="G51" i="8" s="1"/>
  <c r="H51" i="8" s="1"/>
  <c r="E52" i="3"/>
  <c r="G52" i="8" s="1"/>
  <c r="H52" i="8" s="1"/>
  <c r="E53" i="3"/>
  <c r="G53" i="8" s="1"/>
  <c r="H53" i="8" s="1"/>
  <c r="E54" i="3"/>
  <c r="G54" i="8" s="1"/>
  <c r="H54" i="8" s="1"/>
  <c r="E55" i="3"/>
  <c r="G55" i="8" s="1"/>
  <c r="H55" i="8" s="1"/>
  <c r="E56" i="3"/>
  <c r="G56" i="8" s="1"/>
  <c r="H56" i="8" s="1"/>
  <c r="E57" i="3"/>
  <c r="G57" i="8" s="1"/>
  <c r="H57" i="8" s="1"/>
  <c r="E58" i="3"/>
  <c r="G58" i="8" s="1"/>
  <c r="H58" i="8" s="1"/>
  <c r="E59" i="3"/>
  <c r="G59" i="8" s="1"/>
  <c r="H59" i="8" s="1"/>
  <c r="E60" i="3"/>
  <c r="G60" i="8" s="1"/>
  <c r="H60" i="8" s="1"/>
  <c r="E61" i="3"/>
  <c r="G61" i="8" s="1"/>
  <c r="H61" i="8" s="1"/>
  <c r="E62" i="3"/>
  <c r="G62" i="8" s="1"/>
  <c r="H62" i="8" s="1"/>
  <c r="E63" i="3"/>
  <c r="G63" i="8" s="1"/>
  <c r="H63" i="8" s="1"/>
  <c r="E64" i="3"/>
  <c r="G64" i="8" s="1"/>
  <c r="H64" i="8" s="1"/>
  <c r="E65" i="3"/>
  <c r="G65" i="8" s="1"/>
  <c r="H65" i="8" s="1"/>
  <c r="E66" i="3"/>
  <c r="G66" i="8" s="1"/>
  <c r="H66" i="8" s="1"/>
  <c r="E67" i="3"/>
  <c r="G67" i="8" s="1"/>
  <c r="H67" i="8" s="1"/>
  <c r="E68" i="3"/>
  <c r="G68" i="8" s="1"/>
  <c r="H68" i="8" s="1"/>
  <c r="E69" i="3"/>
  <c r="G69" i="8" s="1"/>
  <c r="H69" i="8" s="1"/>
  <c r="E70" i="3"/>
  <c r="G70" i="8" s="1"/>
  <c r="H70" i="8" s="1"/>
  <c r="E71" i="3"/>
  <c r="G71" i="8" s="1"/>
  <c r="H71" i="8" s="1"/>
  <c r="E72" i="3"/>
  <c r="G72" i="8" s="1"/>
  <c r="H72" i="8" s="1"/>
  <c r="E73" i="3"/>
  <c r="G73" i="8" s="1"/>
  <c r="H73" i="8" s="1"/>
  <c r="E74" i="3"/>
  <c r="G74" i="8" s="1"/>
  <c r="H74" i="8" s="1"/>
  <c r="E75" i="3"/>
  <c r="G75" i="8" s="1"/>
  <c r="H75" i="8" s="1"/>
  <c r="E76" i="3"/>
  <c r="G76" i="8" s="1"/>
  <c r="H76" i="8" s="1"/>
  <c r="E77" i="3"/>
  <c r="G77" i="8" s="1"/>
  <c r="H77" i="8" s="1"/>
  <c r="E78" i="3"/>
  <c r="G78" i="8" s="1"/>
  <c r="H78" i="8" s="1"/>
  <c r="E8" i="3"/>
  <c r="G8" i="8" s="1"/>
  <c r="H8" i="8" s="1"/>
  <c r="E9" i="3"/>
  <c r="G9" i="8" s="1"/>
  <c r="H9" i="8" s="1"/>
  <c r="E10" i="3"/>
  <c r="G10" i="8" s="1"/>
  <c r="H10" i="8" s="1"/>
  <c r="E11" i="3"/>
  <c r="G11" i="8" s="1"/>
  <c r="H11" i="8" s="1"/>
  <c r="E12" i="3"/>
  <c r="G12" i="8" s="1"/>
  <c r="H12" i="8" s="1"/>
  <c r="E13" i="3"/>
  <c r="G13" i="8" s="1"/>
  <c r="H13" i="8" s="1"/>
  <c r="E14" i="3"/>
  <c r="G14" i="8" s="1"/>
  <c r="H14" i="8" s="1"/>
  <c r="E7" i="3"/>
  <c r="G7" i="8" s="1"/>
  <c r="G7" i="2"/>
  <c r="E8" i="2"/>
  <c r="E9" i="2"/>
  <c r="E9" i="8" s="1"/>
  <c r="F9" i="8" s="1"/>
  <c r="E10" i="2"/>
  <c r="E10" i="8" s="1"/>
  <c r="F10" i="8" s="1"/>
  <c r="E11" i="2"/>
  <c r="E11" i="8" s="1"/>
  <c r="F11" i="8" s="1"/>
  <c r="E12" i="2"/>
  <c r="E12" i="8" s="1"/>
  <c r="F12" i="8" s="1"/>
  <c r="E13" i="2"/>
  <c r="E13" i="8" s="1"/>
  <c r="F13" i="8" s="1"/>
  <c r="E14" i="2"/>
  <c r="E15" i="2"/>
  <c r="E16" i="2"/>
  <c r="E17" i="2"/>
  <c r="E17" i="8" s="1"/>
  <c r="F17" i="8" s="1"/>
  <c r="E18" i="2"/>
  <c r="E18" i="8" s="1"/>
  <c r="F18" i="8" s="1"/>
  <c r="E19" i="2"/>
  <c r="E19" i="8" s="1"/>
  <c r="F19" i="8" s="1"/>
  <c r="E20" i="2"/>
  <c r="E21" i="2"/>
  <c r="E22" i="2"/>
  <c r="E22" i="8" s="1"/>
  <c r="F22" i="8" s="1"/>
  <c r="E23" i="2"/>
  <c r="E23" i="8" s="1"/>
  <c r="F23" i="8" s="1"/>
  <c r="E24" i="2"/>
  <c r="E25" i="2"/>
  <c r="E25" i="8" s="1"/>
  <c r="F25" i="8" s="1"/>
  <c r="E26" i="2"/>
  <c r="E26" i="8" s="1"/>
  <c r="F26" i="8" s="1"/>
  <c r="E27" i="2"/>
  <c r="E27" i="8" s="1"/>
  <c r="F27" i="8" s="1"/>
  <c r="E28" i="2"/>
  <c r="E29" i="2"/>
  <c r="E30" i="2"/>
  <c r="E30" i="8" s="1"/>
  <c r="F30" i="8" s="1"/>
  <c r="E31" i="2"/>
  <c r="E32" i="2"/>
  <c r="E32" i="8" s="1"/>
  <c r="F32" i="8" s="1"/>
  <c r="E33" i="2"/>
  <c r="E33" i="8" s="1"/>
  <c r="F33" i="8" s="1"/>
  <c r="E34" i="2"/>
  <c r="E34" i="8" s="1"/>
  <c r="F34" i="8" s="1"/>
  <c r="E35" i="2"/>
  <c r="E35" i="8" s="1"/>
  <c r="F35" i="8" s="1"/>
  <c r="E36" i="2"/>
  <c r="E36" i="8" s="1"/>
  <c r="F36" i="8" s="1"/>
  <c r="E37" i="2"/>
  <c r="E38" i="2"/>
  <c r="E39" i="2"/>
  <c r="E40" i="2"/>
  <c r="E40" i="8" s="1"/>
  <c r="F40" i="8" s="1"/>
  <c r="E41" i="2"/>
  <c r="E41" i="8" s="1"/>
  <c r="F41" i="8" s="1"/>
  <c r="E42" i="2"/>
  <c r="E42" i="8" s="1"/>
  <c r="F42" i="8" s="1"/>
  <c r="E43" i="2"/>
  <c r="E43" i="8" s="1"/>
  <c r="F43" i="8" s="1"/>
  <c r="E44" i="2"/>
  <c r="E44" i="8" s="1"/>
  <c r="F44" i="8" s="1"/>
  <c r="E45" i="2"/>
  <c r="E46" i="2"/>
  <c r="E46" i="8" s="1"/>
  <c r="F46" i="8" s="1"/>
  <c r="E47" i="2"/>
  <c r="E47" i="8" s="1"/>
  <c r="F47" i="8" s="1"/>
  <c r="E48" i="2"/>
  <c r="E48" i="8" s="1"/>
  <c r="F48" i="8" s="1"/>
  <c r="E49" i="2"/>
  <c r="E49" i="8" s="1"/>
  <c r="F49" i="8" s="1"/>
  <c r="E50" i="2"/>
  <c r="E50" i="8" s="1"/>
  <c r="F50" i="8" s="1"/>
  <c r="E51" i="2"/>
  <c r="E51" i="8" s="1"/>
  <c r="F51" i="8" s="1"/>
  <c r="E52" i="2"/>
  <c r="E53" i="2"/>
  <c r="E54" i="2"/>
  <c r="E54" i="8" s="1"/>
  <c r="F54" i="8" s="1"/>
  <c r="E55" i="2"/>
  <c r="E55" i="8" s="1"/>
  <c r="F55" i="8" s="1"/>
  <c r="E56" i="2"/>
  <c r="E57" i="2"/>
  <c r="E57" i="8" s="1"/>
  <c r="F57" i="8" s="1"/>
  <c r="E58" i="2"/>
  <c r="E58" i="8" s="1"/>
  <c r="F58" i="8" s="1"/>
  <c r="E59" i="2"/>
  <c r="E59" i="8" s="1"/>
  <c r="F59" i="8" s="1"/>
  <c r="E60" i="2"/>
  <c r="E60" i="8" s="1"/>
  <c r="F60" i="8" s="1"/>
  <c r="E61" i="2"/>
  <c r="E62" i="2"/>
  <c r="E63" i="2"/>
  <c r="E64" i="2"/>
  <c r="E65" i="2"/>
  <c r="E65" i="8" s="1"/>
  <c r="F65" i="8" s="1"/>
  <c r="E66" i="2"/>
  <c r="E66" i="8" s="1"/>
  <c r="F66" i="8" s="1"/>
  <c r="E67" i="2"/>
  <c r="E67" i="8" s="1"/>
  <c r="F67" i="8" s="1"/>
  <c r="E68" i="2"/>
  <c r="E68" i="8" s="1"/>
  <c r="F68" i="8" s="1"/>
  <c r="E69" i="2"/>
  <c r="E70" i="2"/>
  <c r="E70" i="8" s="1"/>
  <c r="F70" i="8" s="1"/>
  <c r="E71" i="2"/>
  <c r="E71" i="8" s="1"/>
  <c r="F71" i="8" s="1"/>
  <c r="E72" i="2"/>
  <c r="E73" i="2"/>
  <c r="E73" i="8" s="1"/>
  <c r="F73" i="8" s="1"/>
  <c r="E74" i="2"/>
  <c r="E74" i="8" s="1"/>
  <c r="F74" i="8" s="1"/>
  <c r="E75" i="2"/>
  <c r="E75" i="8" s="1"/>
  <c r="F75" i="8" s="1"/>
  <c r="E76" i="2"/>
  <c r="E77" i="2"/>
  <c r="E78" i="2"/>
  <c r="E7" i="2"/>
  <c r="E7" i="8" s="1"/>
  <c r="N6" i="9" l="1"/>
  <c r="P6" i="9" s="1"/>
  <c r="M6" i="9"/>
  <c r="O6" i="9" s="1"/>
  <c r="E24" i="8"/>
  <c r="F24" i="8" s="1"/>
  <c r="E72" i="8"/>
  <c r="F72" i="8" s="1"/>
  <c r="E69" i="8"/>
  <c r="F69" i="8" s="1"/>
  <c r="E45" i="8"/>
  <c r="F45" i="8" s="1"/>
  <c r="E21" i="8"/>
  <c r="F21" i="8" s="1"/>
  <c r="E62" i="8"/>
  <c r="F62" i="8" s="1"/>
  <c r="E38" i="8"/>
  <c r="F38" i="8" s="1"/>
  <c r="E14" i="8"/>
  <c r="F14" i="8" s="1"/>
  <c r="E61" i="8"/>
  <c r="F61" i="8" s="1"/>
  <c r="E37" i="8"/>
  <c r="F37" i="8" s="1"/>
  <c r="F7" i="8"/>
  <c r="H7" i="8"/>
  <c r="H79" i="8" s="1"/>
  <c r="L9" i="8" s="1"/>
  <c r="G79" i="8"/>
  <c r="L7" i="8" s="1"/>
  <c r="E56" i="8"/>
  <c r="F56" i="8" s="1"/>
  <c r="E20" i="8"/>
  <c r="F20" i="8" s="1"/>
  <c r="E8" i="8"/>
  <c r="F8" i="8" s="1"/>
  <c r="E31" i="8"/>
  <c r="F31" i="8" s="1"/>
  <c r="E78" i="8"/>
  <c r="F78" i="8" s="1"/>
  <c r="E77" i="8"/>
  <c r="F77" i="8" s="1"/>
  <c r="E53" i="8"/>
  <c r="F53" i="8" s="1"/>
  <c r="E29" i="8"/>
  <c r="F29" i="8" s="1"/>
  <c r="E76" i="8"/>
  <c r="F76" i="8" s="1"/>
  <c r="E64" i="8"/>
  <c r="F64" i="8" s="1"/>
  <c r="E52" i="8"/>
  <c r="F52" i="8" s="1"/>
  <c r="E28" i="8"/>
  <c r="F28" i="8" s="1"/>
  <c r="E16" i="8"/>
  <c r="F16" i="8" s="1"/>
  <c r="E63" i="8"/>
  <c r="F63" i="8" s="1"/>
  <c r="E39" i="8"/>
  <c r="F39" i="8" s="1"/>
  <c r="E15" i="8"/>
  <c r="F15" i="8" s="1"/>
  <c r="F7" i="2"/>
  <c r="E79" i="2"/>
  <c r="M7" i="9" l="1"/>
  <c r="M8" i="9" s="1"/>
  <c r="N7" i="9"/>
  <c r="P7" i="9" s="1"/>
  <c r="F79" i="8"/>
  <c r="L8" i="8" s="1"/>
  <c r="L11" i="8" s="1"/>
  <c r="H7" i="2"/>
  <c r="G8" i="2" s="1"/>
  <c r="F8" i="2" s="1"/>
  <c r="H8" i="2" s="1"/>
  <c r="E79" i="8"/>
  <c r="L6" i="8" s="1"/>
  <c r="L10" i="8" s="1"/>
  <c r="E79" i="3"/>
  <c r="F7" i="3"/>
  <c r="O7" i="9" l="1"/>
  <c r="N8" i="9"/>
  <c r="N9" i="9" s="1"/>
  <c r="M9" i="9"/>
  <c r="O8" i="9"/>
  <c r="H7" i="3"/>
  <c r="G9" i="2"/>
  <c r="F9" i="2" s="1"/>
  <c r="H9" i="2" s="1"/>
  <c r="G10" i="2" s="1"/>
  <c r="F10" i="2" s="1"/>
  <c r="H10" i="2" s="1"/>
  <c r="P8" i="9" l="1"/>
  <c r="N10" i="9"/>
  <c r="P9" i="9"/>
  <c r="M10" i="9"/>
  <c r="O9" i="9"/>
  <c r="G8" i="3"/>
  <c r="G11" i="2"/>
  <c r="M11" i="9" l="1"/>
  <c r="O10" i="9"/>
  <c r="N11" i="9"/>
  <c r="P10" i="9"/>
  <c r="F11" i="2"/>
  <c r="F8" i="3"/>
  <c r="H8" i="3" s="1"/>
  <c r="G9" i="3" s="1"/>
  <c r="F9" i="3" s="1"/>
  <c r="H9" i="3" s="1"/>
  <c r="G10" i="3" s="1"/>
  <c r="F10" i="3" s="1"/>
  <c r="H10" i="3" s="1"/>
  <c r="G11" i="3" s="1"/>
  <c r="F11" i="3" s="1"/>
  <c r="H11" i="3" s="1"/>
  <c r="G12" i="3" s="1"/>
  <c r="F12" i="3" s="1"/>
  <c r="H12" i="3" s="1"/>
  <c r="G13" i="3" s="1"/>
  <c r="F13" i="3" s="1"/>
  <c r="H13" i="3" s="1"/>
  <c r="G14" i="3" s="1"/>
  <c r="F14" i="3" s="1"/>
  <c r="H14" i="3" s="1"/>
  <c r="G15" i="3" s="1"/>
  <c r="N12" i="9" l="1"/>
  <c r="P11" i="9"/>
  <c r="M12" i="9"/>
  <c r="O11" i="9"/>
  <c r="H11" i="2"/>
  <c r="G12" i="2" s="1"/>
  <c r="F12" i="2" s="1"/>
  <c r="H12" i="2" s="1"/>
  <c r="G13" i="2" s="1"/>
  <c r="F13" i="2" s="1"/>
  <c r="H13" i="2" s="1"/>
  <c r="G14" i="2" s="1"/>
  <c r="F14" i="2" s="1"/>
  <c r="H14" i="2" s="1"/>
  <c r="G15" i="2" s="1"/>
  <c r="F15" i="2" s="1"/>
  <c r="H15" i="2" s="1"/>
  <c r="G16" i="2" s="1"/>
  <c r="F15" i="3"/>
  <c r="H15" i="3" s="1"/>
  <c r="G16" i="3" s="1"/>
  <c r="M13" i="9" l="1"/>
  <c r="O12" i="9"/>
  <c r="N13" i="9"/>
  <c r="P12" i="9"/>
  <c r="F16" i="3"/>
  <c r="F16" i="2"/>
  <c r="H16" i="2" s="1"/>
  <c r="G17" i="2" s="1"/>
  <c r="N14" i="9" l="1"/>
  <c r="P13" i="9"/>
  <c r="M14" i="9"/>
  <c r="O13" i="9"/>
  <c r="H16" i="3"/>
  <c r="G17" i="3" s="1"/>
  <c r="F17" i="2"/>
  <c r="H17" i="2" s="1"/>
  <c r="G18" i="2" s="1"/>
  <c r="M15" i="9" l="1"/>
  <c r="O14" i="9"/>
  <c r="N15" i="9"/>
  <c r="P14" i="9"/>
  <c r="F17" i="3"/>
  <c r="H17" i="3" s="1"/>
  <c r="G18" i="3" s="1"/>
  <c r="F18" i="3" s="1"/>
  <c r="H18" i="3" s="1"/>
  <c r="G19" i="3" s="1"/>
  <c r="F18" i="2"/>
  <c r="H18" i="2" s="1"/>
  <c r="G19" i="2" s="1"/>
  <c r="N16" i="9" l="1"/>
  <c r="P15" i="9"/>
  <c r="M16" i="9"/>
  <c r="O15" i="9"/>
  <c r="F19" i="3"/>
  <c r="H19" i="3" s="1"/>
  <c r="G20" i="3" s="1"/>
  <c r="F19" i="2"/>
  <c r="H19" i="2" s="1"/>
  <c r="G20" i="2" s="1"/>
  <c r="M17" i="9" l="1"/>
  <c r="O16" i="9"/>
  <c r="N17" i="9"/>
  <c r="P16" i="9"/>
  <c r="F20" i="3"/>
  <c r="H20" i="3" s="1"/>
  <c r="F20" i="2"/>
  <c r="H20" i="2" s="1"/>
  <c r="M18" i="9" l="1"/>
  <c r="O17" i="9"/>
  <c r="N18" i="9"/>
  <c r="P17" i="9"/>
  <c r="G21" i="3"/>
  <c r="F21" i="3" s="1"/>
  <c r="H21" i="3" s="1"/>
  <c r="G21" i="2"/>
  <c r="F21" i="2" s="1"/>
  <c r="H21" i="2" s="1"/>
  <c r="G22" i="2" s="1"/>
  <c r="F22" i="2" s="1"/>
  <c r="H22" i="2" s="1"/>
  <c r="M19" i="9" l="1"/>
  <c r="O18" i="9"/>
  <c r="N19" i="9"/>
  <c r="P18" i="9"/>
  <c r="G22" i="3"/>
  <c r="F22" i="3" s="1"/>
  <c r="H22" i="3" s="1"/>
  <c r="G23" i="3" s="1"/>
  <c r="F23" i="3" s="1"/>
  <c r="H23" i="3" s="1"/>
  <c r="G23" i="2"/>
  <c r="F23" i="2" s="1"/>
  <c r="H23" i="2" s="1"/>
  <c r="G24" i="2" s="1"/>
  <c r="F24" i="2" s="1"/>
  <c r="H24" i="2" s="1"/>
  <c r="M20" i="9" l="1"/>
  <c r="O19" i="9"/>
  <c r="N20" i="9"/>
  <c r="P19" i="9"/>
  <c r="G24" i="3"/>
  <c r="F24" i="3" s="1"/>
  <c r="H24" i="3" s="1"/>
  <c r="G25" i="2"/>
  <c r="F25" i="2" s="1"/>
  <c r="H25" i="2" s="1"/>
  <c r="N21" i="9" l="1"/>
  <c r="P20" i="9"/>
  <c r="M21" i="9"/>
  <c r="O20" i="9"/>
  <c r="G25" i="3"/>
  <c r="F25" i="3" s="1"/>
  <c r="H25" i="3" s="1"/>
  <c r="G26" i="2"/>
  <c r="F26" i="2" s="1"/>
  <c r="H26" i="2" s="1"/>
  <c r="M22" i="9" l="1"/>
  <c r="O21" i="9"/>
  <c r="N22" i="9"/>
  <c r="P21" i="9"/>
  <c r="G26" i="3"/>
  <c r="F26" i="3" s="1"/>
  <c r="H26" i="3" s="1"/>
  <c r="G27" i="2"/>
  <c r="F27" i="2" s="1"/>
  <c r="H27" i="2" s="1"/>
  <c r="N23" i="9" l="1"/>
  <c r="P22" i="9"/>
  <c r="M23" i="9"/>
  <c r="O22" i="9"/>
  <c r="G27" i="3"/>
  <c r="F27" i="3" s="1"/>
  <c r="H27" i="3" s="1"/>
  <c r="G28" i="3" s="1"/>
  <c r="F28" i="3" s="1"/>
  <c r="H28" i="3" s="1"/>
  <c r="G29" i="3" s="1"/>
  <c r="F29" i="3" s="1"/>
  <c r="H29" i="3" s="1"/>
  <c r="G30" i="3" s="1"/>
  <c r="F30" i="3" s="1"/>
  <c r="H30" i="3" s="1"/>
  <c r="G31" i="3" s="1"/>
  <c r="F31" i="3" s="1"/>
  <c r="H31" i="3" s="1"/>
  <c r="G28" i="2"/>
  <c r="F28" i="2" s="1"/>
  <c r="H28" i="2" s="1"/>
  <c r="G29" i="2" s="1"/>
  <c r="F29" i="2" s="1"/>
  <c r="H29" i="2" s="1"/>
  <c r="G30" i="2" s="1"/>
  <c r="F30" i="2" s="1"/>
  <c r="H30" i="2" s="1"/>
  <c r="M24" i="9" l="1"/>
  <c r="O23" i="9"/>
  <c r="N24" i="9"/>
  <c r="P23" i="9"/>
  <c r="G32" i="3"/>
  <c r="F32" i="3" s="1"/>
  <c r="H32" i="3" s="1"/>
  <c r="G31" i="2"/>
  <c r="F31" i="2" s="1"/>
  <c r="H31" i="2" s="1"/>
  <c r="N25" i="9" l="1"/>
  <c r="P24" i="9"/>
  <c r="M25" i="9"/>
  <c r="O24" i="9"/>
  <c r="G33" i="3"/>
  <c r="F33" i="3" s="1"/>
  <c r="H33" i="3" s="1"/>
  <c r="G34" i="3" s="1"/>
  <c r="F34" i="3" s="1"/>
  <c r="H34" i="3" s="1"/>
  <c r="G32" i="2"/>
  <c r="F32" i="2" s="1"/>
  <c r="H32" i="2" s="1"/>
  <c r="M26" i="9" l="1"/>
  <c r="O25" i="9"/>
  <c r="N26" i="9"/>
  <c r="P25" i="9"/>
  <c r="G35" i="3"/>
  <c r="F35" i="3" s="1"/>
  <c r="H35" i="3" s="1"/>
  <c r="G33" i="2"/>
  <c r="F33" i="2" s="1"/>
  <c r="H33" i="2" s="1"/>
  <c r="N27" i="9" l="1"/>
  <c r="P26" i="9"/>
  <c r="M27" i="9"/>
  <c r="O26" i="9"/>
  <c r="G36" i="3"/>
  <c r="F36" i="3" s="1"/>
  <c r="H36" i="3" s="1"/>
  <c r="G34" i="2"/>
  <c r="F34" i="2" s="1"/>
  <c r="H34" i="2" s="1"/>
  <c r="G35" i="2" s="1"/>
  <c r="F35" i="2" s="1"/>
  <c r="H35" i="2" s="1"/>
  <c r="G36" i="2" s="1"/>
  <c r="F36" i="2" s="1"/>
  <c r="H36" i="2" s="1"/>
  <c r="M28" i="9" l="1"/>
  <c r="O27" i="9"/>
  <c r="N28" i="9"/>
  <c r="P27" i="9"/>
  <c r="G37" i="3"/>
  <c r="F37" i="3" s="1"/>
  <c r="H37" i="3" s="1"/>
  <c r="G38" i="3" s="1"/>
  <c r="F38" i="3" s="1"/>
  <c r="H38" i="3" s="1"/>
  <c r="G39" i="3" s="1"/>
  <c r="F39" i="3" s="1"/>
  <c r="H39" i="3" s="1"/>
  <c r="G40" i="3" s="1"/>
  <c r="F40" i="3" s="1"/>
  <c r="H40" i="3" s="1"/>
  <c r="G41" i="3" s="1"/>
  <c r="F41" i="3" s="1"/>
  <c r="H41" i="3" s="1"/>
  <c r="G42" i="3" s="1"/>
  <c r="F42" i="3" s="1"/>
  <c r="H42" i="3" s="1"/>
  <c r="G43" i="3" s="1"/>
  <c r="G37" i="2"/>
  <c r="F37" i="2" s="1"/>
  <c r="H37" i="2" s="1"/>
  <c r="G38" i="2" s="1"/>
  <c r="F38" i="2" s="1"/>
  <c r="H38" i="2" s="1"/>
  <c r="G39" i="2" s="1"/>
  <c r="F39" i="2" s="1"/>
  <c r="H39" i="2" s="1"/>
  <c r="G40" i="2" s="1"/>
  <c r="F40" i="2" s="1"/>
  <c r="H40" i="2" s="1"/>
  <c r="G41" i="2" s="1"/>
  <c r="F41" i="2" s="1"/>
  <c r="H41" i="2" s="1"/>
  <c r="G42" i="2" s="1"/>
  <c r="F42" i="2" s="1"/>
  <c r="H42" i="2" s="1"/>
  <c r="G43" i="2" s="1"/>
  <c r="N29" i="9" l="1"/>
  <c r="P28" i="9"/>
  <c r="M29" i="9"/>
  <c r="O28" i="9"/>
  <c r="F43" i="3"/>
  <c r="H43" i="3" s="1"/>
  <c r="G44" i="3" s="1"/>
  <c r="F43" i="2"/>
  <c r="H43" i="2" s="1"/>
  <c r="G44" i="2" s="1"/>
  <c r="M30" i="9" l="1"/>
  <c r="O29" i="9"/>
  <c r="N30" i="9"/>
  <c r="P29" i="9"/>
  <c r="F44" i="3"/>
  <c r="H44" i="3" s="1"/>
  <c r="G45" i="3" s="1"/>
  <c r="F44" i="2"/>
  <c r="H44" i="2" s="1"/>
  <c r="G45" i="2" s="1"/>
  <c r="N31" i="9" l="1"/>
  <c r="P30" i="9"/>
  <c r="M31" i="9"/>
  <c r="O30" i="9"/>
  <c r="F45" i="3"/>
  <c r="H45" i="3" s="1"/>
  <c r="G46" i="3" s="1"/>
  <c r="F45" i="2"/>
  <c r="H45" i="2" s="1"/>
  <c r="G46" i="2" s="1"/>
  <c r="M32" i="9" l="1"/>
  <c r="O31" i="9"/>
  <c r="N32" i="9"/>
  <c r="P31" i="9"/>
  <c r="F46" i="3"/>
  <c r="H46" i="3" s="1"/>
  <c r="G47" i="3" s="1"/>
  <c r="F46" i="2"/>
  <c r="H46" i="2" s="1"/>
  <c r="G47" i="2" s="1"/>
  <c r="N33" i="9" l="1"/>
  <c r="P32" i="9"/>
  <c r="M33" i="9"/>
  <c r="O32" i="9"/>
  <c r="F47" i="3"/>
  <c r="H47" i="3" s="1"/>
  <c r="G48" i="3" s="1"/>
  <c r="F47" i="2"/>
  <c r="H47" i="2" s="1"/>
  <c r="G48" i="2" s="1"/>
  <c r="M34" i="9" l="1"/>
  <c r="O33" i="9"/>
  <c r="N34" i="9"/>
  <c r="P33" i="9"/>
  <c r="F48" i="3"/>
  <c r="H48" i="3" s="1"/>
  <c r="G49" i="3" s="1"/>
  <c r="F48" i="2"/>
  <c r="H48" i="2" s="1"/>
  <c r="G49" i="2" s="1"/>
  <c r="N35" i="9" l="1"/>
  <c r="P34" i="9"/>
  <c r="M35" i="9"/>
  <c r="O34" i="9"/>
  <c r="F49" i="3"/>
  <c r="H49" i="3" s="1"/>
  <c r="G50" i="3" s="1"/>
  <c r="F49" i="2"/>
  <c r="H49" i="2" s="1"/>
  <c r="G50" i="2" s="1"/>
  <c r="M36" i="9" l="1"/>
  <c r="O35" i="9"/>
  <c r="N36" i="9"/>
  <c r="P35" i="9"/>
  <c r="F50" i="3"/>
  <c r="H50" i="3" s="1"/>
  <c r="G51" i="3" s="1"/>
  <c r="F50" i="2"/>
  <c r="H50" i="2" s="1"/>
  <c r="G51" i="2" s="1"/>
  <c r="N37" i="9" l="1"/>
  <c r="P36" i="9"/>
  <c r="M37" i="9"/>
  <c r="O36" i="9"/>
  <c r="F51" i="3"/>
  <c r="H51" i="3" s="1"/>
  <c r="G52" i="3" s="1"/>
  <c r="F51" i="2"/>
  <c r="H51" i="2" s="1"/>
  <c r="G52" i="2" s="1"/>
  <c r="M38" i="9" l="1"/>
  <c r="O37" i="9"/>
  <c r="N38" i="9"/>
  <c r="P37" i="9"/>
  <c r="F52" i="3"/>
  <c r="H52" i="3" s="1"/>
  <c r="G53" i="3" s="1"/>
  <c r="F52" i="2"/>
  <c r="H52" i="2" s="1"/>
  <c r="G53" i="2" s="1"/>
  <c r="N39" i="9" l="1"/>
  <c r="P38" i="9"/>
  <c r="M39" i="9"/>
  <c r="O38" i="9"/>
  <c r="F53" i="3"/>
  <c r="H53" i="3" s="1"/>
  <c r="G54" i="3" s="1"/>
  <c r="F53" i="2"/>
  <c r="H53" i="2" s="1"/>
  <c r="G54" i="2" s="1"/>
  <c r="M40" i="9" l="1"/>
  <c r="O39" i="9"/>
  <c r="N40" i="9"/>
  <c r="P39" i="9"/>
  <c r="F54" i="3"/>
  <c r="H54" i="3" s="1"/>
  <c r="G55" i="3" s="1"/>
  <c r="F54" i="2"/>
  <c r="H54" i="2" s="1"/>
  <c r="G55" i="2" s="1"/>
  <c r="N41" i="9" l="1"/>
  <c r="P40" i="9"/>
  <c r="M41" i="9"/>
  <c r="O40" i="9"/>
  <c r="F55" i="3"/>
  <c r="H55" i="3" s="1"/>
  <c r="G56" i="3" s="1"/>
  <c r="F55" i="2"/>
  <c r="H55" i="2" s="1"/>
  <c r="G56" i="2" s="1"/>
  <c r="M42" i="9" l="1"/>
  <c r="O41" i="9"/>
  <c r="N42" i="9"/>
  <c r="P41" i="9"/>
  <c r="F56" i="3"/>
  <c r="H56" i="3" s="1"/>
  <c r="G57" i="3" s="1"/>
  <c r="F56" i="2"/>
  <c r="H56" i="2" s="1"/>
  <c r="G57" i="2" s="1"/>
  <c r="N43" i="9" l="1"/>
  <c r="P42" i="9"/>
  <c r="M43" i="9"/>
  <c r="O42" i="9"/>
  <c r="F57" i="3"/>
  <c r="H57" i="3" s="1"/>
  <c r="G58" i="3" s="1"/>
  <c r="F57" i="2"/>
  <c r="H57" i="2" s="1"/>
  <c r="G58" i="2" s="1"/>
  <c r="M44" i="9" l="1"/>
  <c r="O43" i="9"/>
  <c r="N44" i="9"/>
  <c r="P43" i="9"/>
  <c r="F58" i="3"/>
  <c r="H58" i="3" s="1"/>
  <c r="G59" i="3" s="1"/>
  <c r="F58" i="2"/>
  <c r="H58" i="2" s="1"/>
  <c r="G59" i="2" s="1"/>
  <c r="N45" i="9" l="1"/>
  <c r="P44" i="9"/>
  <c r="M45" i="9"/>
  <c r="O44" i="9"/>
  <c r="F59" i="3"/>
  <c r="H59" i="3" s="1"/>
  <c r="G60" i="3" s="1"/>
  <c r="F59" i="2"/>
  <c r="H59" i="2" s="1"/>
  <c r="G60" i="2" s="1"/>
  <c r="M46" i="9" l="1"/>
  <c r="O45" i="9"/>
  <c r="N46" i="9"/>
  <c r="P45" i="9"/>
  <c r="F60" i="3"/>
  <c r="H60" i="3" s="1"/>
  <c r="G61" i="3" s="1"/>
  <c r="F60" i="2"/>
  <c r="H60" i="2" s="1"/>
  <c r="G61" i="2" s="1"/>
  <c r="N47" i="9" l="1"/>
  <c r="P46" i="9"/>
  <c r="M47" i="9"/>
  <c r="O46" i="9"/>
  <c r="F61" i="3"/>
  <c r="H61" i="3" s="1"/>
  <c r="G62" i="3" s="1"/>
  <c r="F61" i="2"/>
  <c r="H61" i="2" s="1"/>
  <c r="G62" i="2" s="1"/>
  <c r="M48" i="9" l="1"/>
  <c r="O47" i="9"/>
  <c r="N48" i="9"/>
  <c r="P47" i="9"/>
  <c r="F62" i="3"/>
  <c r="H62" i="3" s="1"/>
  <c r="G63" i="3" s="1"/>
  <c r="F62" i="2"/>
  <c r="H62" i="2" s="1"/>
  <c r="G63" i="2" s="1"/>
  <c r="N49" i="9" l="1"/>
  <c r="P48" i="9"/>
  <c r="M49" i="9"/>
  <c r="O48" i="9"/>
  <c r="F63" i="3"/>
  <c r="H63" i="3" s="1"/>
  <c r="G64" i="3" s="1"/>
  <c r="F63" i="2"/>
  <c r="H63" i="2" s="1"/>
  <c r="G64" i="2" s="1"/>
  <c r="M50" i="9" l="1"/>
  <c r="O49" i="9"/>
  <c r="N50" i="9"/>
  <c r="P49" i="9"/>
  <c r="F64" i="3"/>
  <c r="H64" i="3" s="1"/>
  <c r="G65" i="3" s="1"/>
  <c r="F64" i="2"/>
  <c r="H64" i="2" s="1"/>
  <c r="G65" i="2" s="1"/>
  <c r="N51" i="9" l="1"/>
  <c r="P50" i="9"/>
  <c r="M51" i="9"/>
  <c r="O50" i="9"/>
  <c r="F65" i="3"/>
  <c r="H65" i="3" s="1"/>
  <c r="G66" i="3" s="1"/>
  <c r="F65" i="2"/>
  <c r="H65" i="2" s="1"/>
  <c r="G66" i="2" s="1"/>
  <c r="M52" i="9" l="1"/>
  <c r="O51" i="9"/>
  <c r="N52" i="9"/>
  <c r="P51" i="9"/>
  <c r="F66" i="3"/>
  <c r="H66" i="3" s="1"/>
  <c r="G67" i="3" s="1"/>
  <c r="F66" i="2"/>
  <c r="H66" i="2" s="1"/>
  <c r="G67" i="2" s="1"/>
  <c r="N53" i="9" l="1"/>
  <c r="P52" i="9"/>
  <c r="M53" i="9"/>
  <c r="O52" i="9"/>
  <c r="F67" i="3"/>
  <c r="H67" i="3" s="1"/>
  <c r="G68" i="3" s="1"/>
  <c r="F67" i="2"/>
  <c r="H67" i="2" s="1"/>
  <c r="G68" i="2" s="1"/>
  <c r="M54" i="9" l="1"/>
  <c r="O53" i="9"/>
  <c r="N54" i="9"/>
  <c r="P53" i="9"/>
  <c r="F68" i="3"/>
  <c r="H68" i="3" s="1"/>
  <c r="G69" i="3" s="1"/>
  <c r="F68" i="2"/>
  <c r="H68" i="2" s="1"/>
  <c r="G69" i="2" s="1"/>
  <c r="N55" i="9" l="1"/>
  <c r="P54" i="9"/>
  <c r="M55" i="9"/>
  <c r="O54" i="9"/>
  <c r="F69" i="3"/>
  <c r="H69" i="3" s="1"/>
  <c r="G70" i="3" s="1"/>
  <c r="F69" i="2"/>
  <c r="H69" i="2" s="1"/>
  <c r="G70" i="2" s="1"/>
  <c r="M56" i="9" l="1"/>
  <c r="O55" i="9"/>
  <c r="N56" i="9"/>
  <c r="P55" i="9"/>
  <c r="F70" i="3"/>
  <c r="H70" i="3" s="1"/>
  <c r="G71" i="3" s="1"/>
  <c r="F70" i="2"/>
  <c r="H70" i="2" s="1"/>
  <c r="G71" i="2" s="1"/>
  <c r="N57" i="9" l="1"/>
  <c r="P56" i="9"/>
  <c r="M57" i="9"/>
  <c r="O56" i="9"/>
  <c r="F71" i="3"/>
  <c r="H71" i="3" s="1"/>
  <c r="G72" i="3" s="1"/>
  <c r="F71" i="2"/>
  <c r="H71" i="2" s="1"/>
  <c r="G72" i="2" s="1"/>
  <c r="M58" i="9" l="1"/>
  <c r="O57" i="9"/>
  <c r="N58" i="9"/>
  <c r="P57" i="9"/>
  <c r="F72" i="3"/>
  <c r="H72" i="3" s="1"/>
  <c r="G73" i="3" s="1"/>
  <c r="F72" i="2"/>
  <c r="H72" i="2" s="1"/>
  <c r="G73" i="2" s="1"/>
  <c r="N59" i="9" l="1"/>
  <c r="P58" i="9"/>
  <c r="M59" i="9"/>
  <c r="O58" i="9"/>
  <c r="F73" i="3"/>
  <c r="H73" i="3" s="1"/>
  <c r="G74" i="3" s="1"/>
  <c r="F73" i="2"/>
  <c r="H73" i="2" s="1"/>
  <c r="G74" i="2" s="1"/>
  <c r="M60" i="9" l="1"/>
  <c r="O59" i="9"/>
  <c r="N60" i="9"/>
  <c r="P59" i="9"/>
  <c r="F74" i="3"/>
  <c r="H74" i="3" s="1"/>
  <c r="G75" i="3" s="1"/>
  <c r="F74" i="2"/>
  <c r="H74" i="2" s="1"/>
  <c r="G75" i="2" s="1"/>
  <c r="N61" i="9" l="1"/>
  <c r="P60" i="9"/>
  <c r="M61" i="9"/>
  <c r="O60" i="9"/>
  <c r="F75" i="3"/>
  <c r="H75" i="3" s="1"/>
  <c r="G76" i="3" s="1"/>
  <c r="F75" i="2"/>
  <c r="H75" i="2" s="1"/>
  <c r="G76" i="2" s="1"/>
  <c r="M62" i="9" l="1"/>
  <c r="O61" i="9"/>
  <c r="N62" i="9"/>
  <c r="P61" i="9"/>
  <c r="F76" i="3"/>
  <c r="H76" i="3" s="1"/>
  <c r="G77" i="3" s="1"/>
  <c r="F76" i="2"/>
  <c r="H76" i="2" s="1"/>
  <c r="G77" i="2" s="1"/>
  <c r="N63" i="9" l="1"/>
  <c r="P62" i="9"/>
  <c r="M63" i="9"/>
  <c r="O62" i="9"/>
  <c r="F77" i="3"/>
  <c r="H77" i="3" s="1"/>
  <c r="G78" i="3" s="1"/>
  <c r="G79" i="3" s="1"/>
  <c r="F77" i="2"/>
  <c r="H77" i="2" s="1"/>
  <c r="G78" i="2" s="1"/>
  <c r="G79" i="2" s="1"/>
  <c r="M64" i="9" l="1"/>
  <c r="O63" i="9"/>
  <c r="N64" i="9"/>
  <c r="P63" i="9"/>
  <c r="F78" i="3"/>
  <c r="F78" i="2"/>
  <c r="N65" i="9" l="1"/>
  <c r="P64" i="9"/>
  <c r="M65" i="9"/>
  <c r="O64" i="9"/>
  <c r="H78" i="2"/>
  <c r="F79" i="2"/>
  <c r="H78" i="3"/>
  <c r="F79" i="3"/>
  <c r="M66" i="9" l="1"/>
  <c r="O65" i="9"/>
  <c r="N66" i="9"/>
  <c r="P65" i="9"/>
  <c r="N67" i="9" l="1"/>
  <c r="P66" i="9"/>
  <c r="M67" i="9"/>
  <c r="O66" i="9"/>
  <c r="M68" i="9" l="1"/>
  <c r="O67" i="9"/>
  <c r="N68" i="9"/>
  <c r="P67" i="9"/>
  <c r="N69" i="9" l="1"/>
  <c r="P68" i="9"/>
  <c r="M69" i="9"/>
  <c r="O68" i="9"/>
  <c r="M70" i="9" l="1"/>
  <c r="O69" i="9"/>
  <c r="N70" i="9"/>
  <c r="P69" i="9"/>
  <c r="N71" i="9" l="1"/>
  <c r="P70" i="9"/>
  <c r="M71" i="9"/>
  <c r="O70" i="9"/>
  <c r="M72" i="9" l="1"/>
  <c r="O71" i="9"/>
  <c r="N72" i="9"/>
  <c r="P71" i="9"/>
  <c r="N73" i="9" l="1"/>
  <c r="P72" i="9"/>
  <c r="M73" i="9"/>
  <c r="O72" i="9"/>
  <c r="M74" i="9" l="1"/>
  <c r="O73" i="9"/>
  <c r="N74" i="9"/>
  <c r="P73" i="9"/>
  <c r="N75" i="9" l="1"/>
  <c r="P74" i="9"/>
  <c r="M75" i="9"/>
  <c r="O74" i="9"/>
  <c r="M76" i="9" l="1"/>
  <c r="O76" i="9" s="1"/>
  <c r="O75" i="9"/>
  <c r="N76" i="9"/>
  <c r="P76" i="9" s="1"/>
  <c r="P75" i="9"/>
  <c r="P77" i="9" l="1"/>
  <c r="O77" i="9"/>
</calcChain>
</file>

<file path=xl/sharedStrings.xml><?xml version="1.0" encoding="utf-8"?>
<sst xmlns="http://schemas.openxmlformats.org/spreadsheetml/2006/main" count="105" uniqueCount="70">
  <si>
    <t>Loan Amount</t>
  </si>
  <si>
    <t>Loan Term (months)</t>
  </si>
  <si>
    <t>Expected Annual Inflation (%)</t>
  </si>
  <si>
    <t>Annual Interest Rate (%)</t>
  </si>
  <si>
    <t>Annuity Loan Amortization Schedule</t>
  </si>
  <si>
    <t>Period</t>
  </si>
  <si>
    <t>Total:</t>
  </si>
  <si>
    <t>Monthly 
payment (KZT)</t>
  </si>
  <si>
    <t>Principal 
payment (KZT)</t>
  </si>
  <si>
    <t>Interest 
payment (KZT)</t>
  </si>
  <si>
    <t>Outstanding 
balance (KZT)</t>
  </si>
  <si>
    <t>Differentiated Loan Amortization Schedule</t>
  </si>
  <si>
    <t>Total 
payment (KZT)</t>
  </si>
  <si>
    <t>Total
payment (KZT)</t>
  </si>
  <si>
    <t>Discounted Cash Flow Analysis</t>
  </si>
  <si>
    <t>Annuity Payment</t>
  </si>
  <si>
    <t>Annuity PV</t>
  </si>
  <si>
    <t>Diff Payment</t>
  </si>
  <si>
    <t>Diff PV</t>
  </si>
  <si>
    <t>TOTAL PAYMENTS</t>
  </si>
  <si>
    <t>Annuity:</t>
  </si>
  <si>
    <t>Differentiated:</t>
  </si>
  <si>
    <t>Nominal 
Total</t>
  </si>
  <si>
    <t>Discounted 
Total (PV)</t>
  </si>
  <si>
    <t>Difference of nominal total cost:</t>
  </si>
  <si>
    <t>Difference of discounted total cost:</t>
  </si>
  <si>
    <t>Annual Interest Rate (%):</t>
  </si>
  <si>
    <t>Expected Annual Inflation (%):</t>
  </si>
  <si>
    <t>Sensitivity Analysis: Interest Rate vs Inflation</t>
  </si>
  <si>
    <t>Monthly Income (KZT)</t>
  </si>
  <si>
    <t>Annual PD (Base, %)</t>
  </si>
  <si>
    <t>PD sensitivity to DTI (alpha)</t>
  </si>
  <si>
    <t>Discount rate (Annual Inflation, %)</t>
  </si>
  <si>
    <t>Period t</t>
  </si>
  <si>
    <t>Annuity 
Payment</t>
  </si>
  <si>
    <t>Scenario 
(PD, DTI sensitivity)</t>
  </si>
  <si>
    <t>Difference of
EDCF (diff-ann)</t>
  </si>
  <si>
    <t>PD=5%  PDDTI=0</t>
  </si>
  <si>
    <t>PD=5% PDDTI=5</t>
  </si>
  <si>
    <t>PD=5% PDDTI=10</t>
  </si>
  <si>
    <t>PD=5% PDDTI=15</t>
  </si>
  <si>
    <t>PD=5% PDDTI=40</t>
  </si>
  <si>
    <t>PD=10% PDDTI=5</t>
  </si>
  <si>
    <t>PD=15% PDDTI=5</t>
  </si>
  <si>
    <t>PD=20% PDDTI=5</t>
  </si>
  <si>
    <t>PD=10% PDDTI=10</t>
  </si>
  <si>
    <t>PD=15% PDDTI=15</t>
  </si>
  <si>
    <t>PD=20% PDDTI=20</t>
  </si>
  <si>
    <t>PD=30% PDDTI=30</t>
  </si>
  <si>
    <t>Survival Probability 
(Annuity)</t>
  </si>
  <si>
    <t>Survival Probability 
(Differentiated)</t>
  </si>
  <si>
    <t>Differentiated
Payment</t>
  </si>
  <si>
    <t>Expected DCF 
(Annuity)</t>
  </si>
  <si>
    <t>Expected DCF 
(Differentiated)</t>
  </si>
  <si>
    <t>Term</t>
  </si>
  <si>
    <t>Meaning</t>
  </si>
  <si>
    <t>PD</t>
  </si>
  <si>
    <t>DTI</t>
  </si>
  <si>
    <t>Sₜ</t>
  </si>
  <si>
    <t>EDCF</t>
  </si>
  <si>
    <t>α</t>
  </si>
  <si>
    <t>DTI
(Annuity)</t>
  </si>
  <si>
    <t>PD
(Annuity)</t>
  </si>
  <si>
    <t>DTI
(Differentiated)</t>
  </si>
  <si>
    <t>PD
(Differentiated)</t>
  </si>
  <si>
    <t>PD sensitivity to DTI</t>
  </si>
  <si>
    <r>
      <t>Expected discounted cash flow (</t>
    </r>
    <r>
      <rPr>
        <i/>
        <sz val="11"/>
        <color theme="1"/>
        <rFont val="Arial"/>
        <family val="2"/>
        <charset val="204"/>
      </rPr>
      <t>Payment × Sₜ</t>
    </r>
    <r>
      <rPr>
        <sz val="11"/>
        <color theme="1"/>
        <rFont val="Arial"/>
        <family val="2"/>
        <charset val="204"/>
      </rPr>
      <t>)</t>
    </r>
  </si>
  <si>
    <r>
      <t xml:space="preserve">Survival probability up to period </t>
    </r>
    <r>
      <rPr>
        <i/>
        <sz val="11"/>
        <color theme="1"/>
        <rFont val="Arial"/>
        <family val="2"/>
        <charset val="204"/>
      </rPr>
      <t>t</t>
    </r>
  </si>
  <si>
    <t>Debt-to-Income ratio (payment / income)</t>
  </si>
  <si>
    <t>Probability of default 
(annual, converted to monthly)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</si>
</sst>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_-* #,##0.00\ _₽_-;\-* #,##0.00\ _₽_-;_-* &quot;-&quot;??\ _₽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Arial"/>
      <family val="2"/>
      <charset val="204"/>
    </font>
    <font>
      <sz val="11"/>
      <color theme="1"/>
      <name val="Arial"/>
      <family val="2"/>
      <charset val="204"/>
    </font>
    <font>
      <sz val="8"/>
      <name val="Calibri"/>
      <family val="2"/>
      <scheme val="minor"/>
    </font>
    <font>
      <i/>
      <sz val="11"/>
      <color theme="1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95">
    <xf numFmtId="0" fontId="0" fillId="0" borderId="0" xfId="0"/>
    <xf numFmtId="3" fontId="0" fillId="0" borderId="0" xfId="0" applyNumberFormat="1"/>
    <xf numFmtId="1" fontId="0" fillId="0" borderId="0" xfId="0" applyNumberFormat="1"/>
    <xf numFmtId="43" fontId="0" fillId="0" borderId="0" xfId="1" applyFont="1"/>
    <xf numFmtId="0" fontId="2" fillId="0" borderId="1" xfId="0" applyFont="1" applyBorder="1" applyAlignment="1">
      <alignment horizontal="right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3" fontId="2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right" wrapText="1"/>
    </xf>
    <xf numFmtId="164" fontId="0" fillId="0" borderId="0" xfId="1" applyNumberFormat="1" applyFont="1" applyBorder="1" applyAlignment="1">
      <alignment horizontal="left"/>
    </xf>
    <xf numFmtId="0" fontId="0" fillId="0" borderId="0" xfId="0" applyAlignment="1">
      <alignment horizontal="left"/>
    </xf>
    <xf numFmtId="1" fontId="4" fillId="0" borderId="1" xfId="0" applyNumberFormat="1" applyFont="1" applyBorder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4" fillId="0" borderId="1" xfId="0" applyFont="1" applyBorder="1" applyAlignment="1">
      <alignment horizontal="right"/>
    </xf>
    <xf numFmtId="164" fontId="4" fillId="0" borderId="1" xfId="1" applyNumberFormat="1" applyFont="1" applyBorder="1" applyAlignment="1">
      <alignment horizontal="center" vertical="center"/>
    </xf>
    <xf numFmtId="0" fontId="4" fillId="0" borderId="1" xfId="0" applyFont="1" applyBorder="1"/>
    <xf numFmtId="0" fontId="4" fillId="0" borderId="1" xfId="0" applyFont="1" applyBorder="1" applyAlignment="1">
      <alignment horizontal="center" vertical="center"/>
    </xf>
    <xf numFmtId="3" fontId="4" fillId="0" borderId="1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3" fontId="4" fillId="0" borderId="2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right"/>
    </xf>
    <xf numFmtId="1" fontId="4" fillId="0" borderId="2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3" fontId="4" fillId="0" borderId="4" xfId="0" applyNumberFormat="1" applyFont="1" applyBorder="1" applyAlignment="1">
      <alignment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6" xfId="0" applyNumberFormat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3" fontId="4" fillId="0" borderId="3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right"/>
    </xf>
    <xf numFmtId="3" fontId="3" fillId="0" borderId="6" xfId="0" applyNumberFormat="1" applyFont="1" applyBorder="1" applyAlignment="1">
      <alignment horizontal="center" vertical="center"/>
    </xf>
    <xf numFmtId="3" fontId="3" fillId="0" borderId="7" xfId="0" applyNumberFormat="1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/>
    <xf numFmtId="0" fontId="3" fillId="0" borderId="16" xfId="0" applyFont="1" applyBorder="1"/>
    <xf numFmtId="0" fontId="3" fillId="0" borderId="0" xfId="0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3" fontId="4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right" vertical="center"/>
    </xf>
    <xf numFmtId="0" fontId="0" fillId="0" borderId="0" xfId="0" applyAlignment="1">
      <alignment horizontal="right"/>
    </xf>
    <xf numFmtId="0" fontId="4" fillId="0" borderId="19" xfId="0" applyFont="1" applyBorder="1" applyAlignment="1">
      <alignment horizontal="right"/>
    </xf>
    <xf numFmtId="0" fontId="4" fillId="0" borderId="21" xfId="0" applyFont="1" applyBorder="1" applyAlignment="1">
      <alignment horizontal="right"/>
    </xf>
    <xf numFmtId="0" fontId="4" fillId="0" borderId="11" xfId="0" applyFont="1" applyBorder="1" applyAlignment="1">
      <alignment horizontal="right"/>
    </xf>
    <xf numFmtId="3" fontId="4" fillId="0" borderId="20" xfId="0" applyNumberFormat="1" applyFont="1" applyBorder="1" applyAlignment="1">
      <alignment horizontal="center" vertical="center"/>
    </xf>
    <xf numFmtId="3" fontId="4" fillId="0" borderId="22" xfId="0" applyNumberFormat="1" applyFont="1" applyBorder="1" applyAlignment="1">
      <alignment horizontal="center" vertical="center"/>
    </xf>
    <xf numFmtId="3" fontId="4" fillId="0" borderId="13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 vertical="center"/>
    </xf>
    <xf numFmtId="0" fontId="4" fillId="0" borderId="21" xfId="0" applyFont="1" applyBorder="1" applyAlignment="1">
      <alignment horizontal="center" wrapText="1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4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4" fillId="0" borderId="11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4" fillId="0" borderId="21" xfId="0" applyFont="1" applyBorder="1" applyAlignment="1">
      <alignment horizontal="center" wrapText="1"/>
    </xf>
    <xf numFmtId="0" fontId="4" fillId="0" borderId="21" xfId="0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23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4" fillId="0" borderId="21" xfId="0" applyFont="1" applyBorder="1" applyAlignment="1">
      <alignment horizontal="right"/>
    </xf>
    <xf numFmtId="0" fontId="4" fillId="0" borderId="1" xfId="0" applyFont="1" applyBorder="1" applyAlignment="1">
      <alignment horizontal="right"/>
    </xf>
    <xf numFmtId="0" fontId="3" fillId="0" borderId="5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64" fontId="2" fillId="0" borderId="20" xfId="1" applyNumberFormat="1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9" xfId="0" applyFont="1" applyBorder="1" applyAlignment="1">
      <alignment horizontal="right"/>
    </xf>
    <xf numFmtId="0" fontId="2" fillId="0" borderId="21" xfId="0" applyFont="1" applyBorder="1" applyAlignment="1">
      <alignment horizontal="right"/>
    </xf>
    <xf numFmtId="0" fontId="2" fillId="0" borderId="11" xfId="0" applyFont="1" applyBorder="1" applyAlignment="1">
      <alignment horizontal="right"/>
    </xf>
    <xf numFmtId="43" fontId="4" fillId="0" borderId="2" xfId="0" applyNumberFormat="1" applyFont="1" applyBorder="1" applyAlignment="1">
      <alignment horizontal="center" vertical="center"/>
    </xf>
    <xf numFmtId="165" fontId="4" fillId="0" borderId="2" xfId="0" applyNumberFormat="1" applyFont="1" applyBorder="1" applyAlignment="1">
      <alignment horizontal="center" vertical="center"/>
    </xf>
    <xf numFmtId="164" fontId="4" fillId="0" borderId="2" xfId="1" applyNumberFormat="1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164" fontId="4" fillId="0" borderId="0" xfId="0" applyNumberFormat="1" applyFont="1"/>
    <xf numFmtId="0" fontId="3" fillId="0" borderId="1" xfId="0" applyFont="1" applyBorder="1" applyAlignment="1">
      <alignment horizontal="right"/>
    </xf>
    <xf numFmtId="164" fontId="3" fillId="0" borderId="1" xfId="0" applyNumberFormat="1" applyFont="1" applyBorder="1"/>
    <xf numFmtId="0" fontId="4" fillId="0" borderId="24" xfId="0" applyFont="1" applyBorder="1" applyAlignment="1">
      <alignment horizontal="center"/>
    </xf>
    <xf numFmtId="0" fontId="4" fillId="0" borderId="25" xfId="0" applyFont="1" applyBorder="1" applyAlignment="1">
      <alignment wrapText="1"/>
    </xf>
    <xf numFmtId="0" fontId="4" fillId="0" borderId="22" xfId="0" applyFont="1" applyBorder="1" applyAlignment="1">
      <alignment vertical="center" wrapText="1"/>
    </xf>
    <xf numFmtId="0" fontId="4" fillId="0" borderId="11" xfId="0" applyFont="1" applyBorder="1" applyAlignment="1">
      <alignment horizontal="center" wrapText="1"/>
    </xf>
    <xf numFmtId="0" fontId="4" fillId="0" borderId="13" xfId="0" applyFont="1" applyBorder="1" applyAlignment="1">
      <alignment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75E2B-DC89-4C5A-92D2-7C5409D71BB0}">
  <dimension ref="B3:C6"/>
  <sheetViews>
    <sheetView workbookViewId="0">
      <selection activeCell="C6" sqref="C6"/>
    </sheetView>
  </sheetViews>
  <sheetFormatPr defaultRowHeight="14.4" x14ac:dyDescent="0.3"/>
  <cols>
    <col min="2" max="2" width="31.88671875" bestFit="1" customWidth="1"/>
    <col min="3" max="3" width="11.44140625" bestFit="1" customWidth="1"/>
  </cols>
  <sheetData>
    <row r="3" spans="2:3" ht="18" x14ac:dyDescent="0.35">
      <c r="B3" s="4" t="s">
        <v>0</v>
      </c>
      <c r="C3" s="7">
        <v>7000000</v>
      </c>
    </row>
    <row r="4" spans="2:3" ht="18" x14ac:dyDescent="0.35">
      <c r="B4" s="4" t="s">
        <v>3</v>
      </c>
      <c r="C4" s="6">
        <v>5</v>
      </c>
    </row>
    <row r="5" spans="2:3" ht="18" x14ac:dyDescent="0.35">
      <c r="B5" s="4" t="s">
        <v>1</v>
      </c>
      <c r="C5" s="5">
        <v>72</v>
      </c>
    </row>
    <row r="6" spans="2:3" ht="18" x14ac:dyDescent="0.35">
      <c r="B6" s="4" t="s">
        <v>2</v>
      </c>
      <c r="C6" s="5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3F573-F059-4FF5-8621-97A84CB80A95}">
  <dimension ref="A2:M79"/>
  <sheetViews>
    <sheetView workbookViewId="0">
      <selection activeCell="L15" sqref="L15"/>
    </sheetView>
  </sheetViews>
  <sheetFormatPr defaultRowHeight="14.4" x14ac:dyDescent="0.3"/>
  <cols>
    <col min="1" max="1" width="22.33203125" customWidth="1"/>
    <col min="2" max="2" width="13.88671875" bestFit="1" customWidth="1"/>
    <col min="3" max="3" width="11.33203125" customWidth="1"/>
    <col min="4" max="4" width="7.33203125" bestFit="1" customWidth="1"/>
    <col min="5" max="6" width="14.5546875" bestFit="1" customWidth="1"/>
    <col min="7" max="7" width="14.88671875" customWidth="1"/>
    <col min="8" max="8" width="13.88671875" customWidth="1"/>
    <col min="11" max="11" width="12" bestFit="1" customWidth="1"/>
    <col min="12" max="12" width="10.44140625" customWidth="1"/>
    <col min="13" max="13" width="12" bestFit="1" customWidth="1"/>
  </cols>
  <sheetData>
    <row r="2" spans="1:13" ht="28.2" customHeight="1" x14ac:dyDescent="0.3">
      <c r="A2" s="8"/>
      <c r="B2" s="9"/>
    </row>
    <row r="3" spans="1:13" x14ac:dyDescent="0.3">
      <c r="A3" s="8"/>
      <c r="B3" s="10"/>
    </row>
    <row r="4" spans="1:13" ht="15" thickBot="1" x14ac:dyDescent="0.35">
      <c r="A4" s="8"/>
      <c r="B4" s="10"/>
    </row>
    <row r="5" spans="1:13" ht="15.6" thickBot="1" x14ac:dyDescent="0.35">
      <c r="D5" s="56" t="s">
        <v>4</v>
      </c>
      <c r="E5" s="57"/>
      <c r="F5" s="57"/>
      <c r="G5" s="57"/>
      <c r="H5" s="58"/>
    </row>
    <row r="6" spans="1:13" ht="45.6" thickBot="1" x14ac:dyDescent="0.35">
      <c r="D6" s="27" t="s">
        <v>5</v>
      </c>
      <c r="E6" s="28" t="s">
        <v>7</v>
      </c>
      <c r="F6" s="28" t="s">
        <v>8</v>
      </c>
      <c r="G6" s="28" t="s">
        <v>9</v>
      </c>
      <c r="H6" s="29" t="s">
        <v>10</v>
      </c>
      <c r="K6" s="20" t="s">
        <v>13</v>
      </c>
      <c r="L6" s="21" t="s">
        <v>8</v>
      </c>
      <c r="M6" s="22" t="s">
        <v>9</v>
      </c>
    </row>
    <row r="7" spans="1:13" ht="15" thickBot="1" x14ac:dyDescent="0.35">
      <c r="D7" s="26">
        <v>1</v>
      </c>
      <c r="E7" s="26">
        <f>INPUT!$C$3*((INPUT!$C$4/1200)*(1+INPUT!$C$4/1200)^INPUT!$C$5/((1+INPUT!$C$4/1200)^INPUT!$C$5-1))</f>
        <v>112734.52863015613</v>
      </c>
      <c r="F7" s="12">
        <f>E7-G7</f>
        <v>83567.861963489457</v>
      </c>
      <c r="G7" s="26">
        <f>INPUT!C3*INPUT!C4/1200</f>
        <v>29166.666666666668</v>
      </c>
      <c r="H7" s="26">
        <f>INPUT!C3-F7</f>
        <v>6916432.1380365109</v>
      </c>
      <c r="J7" s="25" t="s">
        <v>6</v>
      </c>
      <c r="K7" s="31">
        <v>8116886.061371238</v>
      </c>
      <c r="L7" s="32">
        <v>6999999.9999999693</v>
      </c>
      <c r="M7" s="33">
        <v>1116886.0613712717</v>
      </c>
    </row>
    <row r="8" spans="1:13" x14ac:dyDescent="0.3">
      <c r="D8" s="11">
        <v>2</v>
      </c>
      <c r="E8" s="11">
        <f>INPUT!$C$3*((INPUT!$C$4/1200)*(1+INPUT!$C$4/1200)^INPUT!$C$5/((1+INPUT!$C$4/1200)^INPUT!$C$5-1))</f>
        <v>112734.52863015613</v>
      </c>
      <c r="F8" s="11">
        <f>E8-G8</f>
        <v>83916.06138833733</v>
      </c>
      <c r="G8" s="11">
        <f>H7*INPUT!$C$4/1200</f>
        <v>28818.467241818795</v>
      </c>
      <c r="H8" s="11">
        <f>H7-F8</f>
        <v>6832516.0766481739</v>
      </c>
    </row>
    <row r="9" spans="1:13" x14ac:dyDescent="0.3">
      <c r="D9" s="11">
        <v>3</v>
      </c>
      <c r="E9" s="11">
        <f>INPUT!$C$3*((INPUT!$C$4/1200)*(1+INPUT!$C$4/1200)^INPUT!$C$5/((1+INPUT!$C$4/1200)^INPUT!$C$5-1))</f>
        <v>112734.52863015613</v>
      </c>
      <c r="F9" s="11">
        <f t="shared" ref="F9:F72" si="0">E9-G9</f>
        <v>84265.711644122071</v>
      </c>
      <c r="G9" s="11">
        <f>H8*INPUT!$C$4/1200</f>
        <v>28468.81698603406</v>
      </c>
      <c r="H9" s="11">
        <f t="shared" ref="H9:H72" si="1">H8-F9</f>
        <v>6748250.3650040515</v>
      </c>
    </row>
    <row r="10" spans="1:13" x14ac:dyDescent="0.3">
      <c r="D10" s="11">
        <v>4</v>
      </c>
      <c r="E10" s="11">
        <f>INPUT!$C$3*((INPUT!$C$4/1200)*(1+INPUT!$C$4/1200)^INPUT!$C$5/((1+INPUT!$C$4/1200)^INPUT!$C$5-1))</f>
        <v>112734.52863015613</v>
      </c>
      <c r="F10" s="11">
        <f t="shared" si="0"/>
        <v>84616.818775972584</v>
      </c>
      <c r="G10" s="11">
        <f>H9*INPUT!$C$4/1200</f>
        <v>28117.709854183544</v>
      </c>
      <c r="H10" s="11">
        <f t="shared" si="1"/>
        <v>6663633.5462280791</v>
      </c>
    </row>
    <row r="11" spans="1:13" x14ac:dyDescent="0.3">
      <c r="D11" s="11">
        <v>5</v>
      </c>
      <c r="E11" s="11">
        <f>INPUT!$C$3*((INPUT!$C$4/1200)*(1+INPUT!$C$4/1200)^INPUT!$C$5/((1+INPUT!$C$4/1200)^INPUT!$C$5-1))</f>
        <v>112734.52863015613</v>
      </c>
      <c r="F11" s="11">
        <f t="shared" si="0"/>
        <v>84969.388854205798</v>
      </c>
      <c r="G11" s="11">
        <f>H10*INPUT!$C$4/1200</f>
        <v>27765.139775950331</v>
      </c>
      <c r="H11" s="11">
        <f t="shared" si="1"/>
        <v>6578664.1573738735</v>
      </c>
    </row>
    <row r="12" spans="1:13" x14ac:dyDescent="0.3">
      <c r="D12" s="11">
        <v>6</v>
      </c>
      <c r="E12" s="11">
        <f>INPUT!$C$3*((INPUT!$C$4/1200)*(1+INPUT!$C$4/1200)^INPUT!$C$5/((1+INPUT!$C$4/1200)^INPUT!$C$5-1))</f>
        <v>112734.52863015613</v>
      </c>
      <c r="F12" s="11">
        <f t="shared" si="0"/>
        <v>85323.427974431659</v>
      </c>
      <c r="G12" s="11">
        <f>H11*INPUT!$C$4/1200</f>
        <v>27411.100655724473</v>
      </c>
      <c r="H12" s="11">
        <f t="shared" si="1"/>
        <v>6493340.7293994417</v>
      </c>
    </row>
    <row r="13" spans="1:13" x14ac:dyDescent="0.3">
      <c r="D13" s="11">
        <v>7</v>
      </c>
      <c r="E13" s="11">
        <f>INPUT!$C$3*((INPUT!$C$4/1200)*(1+INPUT!$C$4/1200)^INPUT!$C$5/((1+INPUT!$C$4/1200)^INPUT!$C$5-1))</f>
        <v>112734.52863015613</v>
      </c>
      <c r="F13" s="11">
        <f t="shared" si="0"/>
        <v>85678.942257658462</v>
      </c>
      <c r="G13" s="11">
        <f>H12*INPUT!$C$4/1200</f>
        <v>27055.586372497673</v>
      </c>
      <c r="H13" s="11">
        <f t="shared" si="1"/>
        <v>6407661.7871417832</v>
      </c>
    </row>
    <row r="14" spans="1:13" x14ac:dyDescent="0.3">
      <c r="C14" s="2"/>
      <c r="D14" s="11">
        <v>8</v>
      </c>
      <c r="E14" s="11">
        <f>INPUT!$C$3*((INPUT!$C$4/1200)*(1+INPUT!$C$4/1200)^INPUT!$C$5/((1+INPUT!$C$4/1200)^INPUT!$C$5-1))</f>
        <v>112734.52863015613</v>
      </c>
      <c r="F14" s="11">
        <f t="shared" si="0"/>
        <v>86035.937850398695</v>
      </c>
      <c r="G14" s="11">
        <f>H13*INPUT!$C$4/1200</f>
        <v>26698.590779757433</v>
      </c>
      <c r="H14" s="11">
        <f t="shared" si="1"/>
        <v>6321625.8492913842</v>
      </c>
    </row>
    <row r="15" spans="1:13" x14ac:dyDescent="0.3">
      <c r="D15" s="11">
        <v>9</v>
      </c>
      <c r="E15" s="11">
        <f>INPUT!$C$3*((INPUT!$C$4/1200)*(1+INPUT!$C$4/1200)^INPUT!$C$5/((1+INPUT!$C$4/1200)^INPUT!$C$5-1))</f>
        <v>112734.52863015613</v>
      </c>
      <c r="F15" s="11">
        <f t="shared" si="0"/>
        <v>86394.420924775361</v>
      </c>
      <c r="G15" s="11">
        <f>H14*INPUT!$C$4/1200</f>
        <v>26340.107705380768</v>
      </c>
      <c r="H15" s="11">
        <f t="shared" si="1"/>
        <v>6235231.4283666089</v>
      </c>
    </row>
    <row r="16" spans="1:13" x14ac:dyDescent="0.3">
      <c r="D16" s="11">
        <v>10</v>
      </c>
      <c r="E16" s="11">
        <f>INPUT!$C$3*((INPUT!$C$4/1200)*(1+INPUT!$C$4/1200)^INPUT!$C$5/((1+INPUT!$C$4/1200)^INPUT!$C$5-1))</f>
        <v>112734.52863015613</v>
      </c>
      <c r="F16" s="11">
        <f t="shared" si="0"/>
        <v>86754.397678628593</v>
      </c>
      <c r="G16" s="11">
        <f>H15*INPUT!$C$4/1200</f>
        <v>25980.130951527539</v>
      </c>
      <c r="H16" s="11">
        <f t="shared" si="1"/>
        <v>6148477.0306879804</v>
      </c>
    </row>
    <row r="17" spans="4:8" x14ac:dyDescent="0.3">
      <c r="D17" s="11">
        <v>11</v>
      </c>
      <c r="E17" s="11">
        <f>INPUT!$C$3*((INPUT!$C$4/1200)*(1+INPUT!$C$4/1200)^INPUT!$C$5/((1+INPUT!$C$4/1200)^INPUT!$C$5-1))</f>
        <v>112734.52863015613</v>
      </c>
      <c r="F17" s="11">
        <f t="shared" si="0"/>
        <v>87115.874335622881</v>
      </c>
      <c r="G17" s="11">
        <f>H16*INPUT!$C$4/1200</f>
        <v>25618.654294533251</v>
      </c>
      <c r="H17" s="11">
        <f t="shared" si="1"/>
        <v>6061361.1563523579</v>
      </c>
    </row>
    <row r="18" spans="4:8" x14ac:dyDescent="0.3">
      <c r="D18" s="11">
        <v>12</v>
      </c>
      <c r="E18" s="11">
        <f>INPUT!$C$3*((INPUT!$C$4/1200)*(1+INPUT!$C$4/1200)^INPUT!$C$5/((1+INPUT!$C$4/1200)^INPUT!$C$5-1))</f>
        <v>112734.52863015613</v>
      </c>
      <c r="F18" s="11">
        <f t="shared" si="0"/>
        <v>87478.857145354646</v>
      </c>
      <c r="G18" s="11">
        <f>H17*INPUT!$C$4/1200</f>
        <v>25255.671484801489</v>
      </c>
      <c r="H18" s="11">
        <f t="shared" si="1"/>
        <v>5973882.2992070029</v>
      </c>
    </row>
    <row r="19" spans="4:8" x14ac:dyDescent="0.3">
      <c r="D19" s="11">
        <v>13</v>
      </c>
      <c r="E19" s="11">
        <f>INPUT!$C$3*((INPUT!$C$4/1200)*(1+INPUT!$C$4/1200)^INPUT!$C$5/((1+INPUT!$C$4/1200)^INPUT!$C$5-1))</f>
        <v>112734.52863015613</v>
      </c>
      <c r="F19" s="11">
        <f t="shared" si="0"/>
        <v>87843.352383460282</v>
      </c>
      <c r="G19" s="11">
        <f>H18*INPUT!$C$4/1200</f>
        <v>24891.176246695846</v>
      </c>
      <c r="H19" s="11">
        <f t="shared" si="1"/>
        <v>5886038.9468235429</v>
      </c>
    </row>
    <row r="20" spans="4:8" x14ac:dyDescent="0.3">
      <c r="D20" s="11">
        <v>14</v>
      </c>
      <c r="E20" s="11">
        <f>INPUT!$C$3*((INPUT!$C$4/1200)*(1+INPUT!$C$4/1200)^INPUT!$C$5/((1+INPUT!$C$4/1200)^INPUT!$C$5-1))</f>
        <v>112734.52863015613</v>
      </c>
      <c r="F20" s="11">
        <f t="shared" si="0"/>
        <v>88209.36635172469</v>
      </c>
      <c r="G20" s="11">
        <f>H19*INPUT!$C$4/1200</f>
        <v>24525.162278431431</v>
      </c>
      <c r="H20" s="11">
        <f t="shared" si="1"/>
        <v>5797829.5804718183</v>
      </c>
    </row>
    <row r="21" spans="4:8" x14ac:dyDescent="0.3">
      <c r="D21" s="11">
        <v>15</v>
      </c>
      <c r="E21" s="11">
        <f>INPUT!$C$3*((INPUT!$C$4/1200)*(1+INPUT!$C$4/1200)^INPUT!$C$5/((1+INPUT!$C$4/1200)^INPUT!$C$5-1))</f>
        <v>112734.52863015613</v>
      </c>
      <c r="F21" s="11">
        <f t="shared" si="0"/>
        <v>88576.905378190218</v>
      </c>
      <c r="G21" s="11">
        <f>H20*INPUT!$C$4/1200</f>
        <v>24157.62325196591</v>
      </c>
      <c r="H21" s="11">
        <f t="shared" si="1"/>
        <v>5709252.6750936285</v>
      </c>
    </row>
    <row r="22" spans="4:8" x14ac:dyDescent="0.3">
      <c r="D22" s="11">
        <v>16</v>
      </c>
      <c r="E22" s="11">
        <f>INPUT!$C$3*((INPUT!$C$4/1200)*(1+INPUT!$C$4/1200)^INPUT!$C$5/((1+INPUT!$C$4/1200)^INPUT!$C$5-1))</f>
        <v>112734.52863015613</v>
      </c>
      <c r="F22" s="11">
        <f t="shared" si="0"/>
        <v>88945.975817266008</v>
      </c>
      <c r="G22" s="11">
        <f>H21*INPUT!$C$4/1200</f>
        <v>23788.552812890117</v>
      </c>
      <c r="H22" s="11">
        <f t="shared" si="1"/>
        <v>5620306.6992763625</v>
      </c>
    </row>
    <row r="23" spans="4:8" x14ac:dyDescent="0.3">
      <c r="D23" s="11">
        <v>17</v>
      </c>
      <c r="E23" s="11">
        <f>INPUT!$C$3*((INPUT!$C$4/1200)*(1+INPUT!$C$4/1200)^INPUT!$C$5/((1+INPUT!$C$4/1200)^INPUT!$C$5-1))</f>
        <v>112734.52863015613</v>
      </c>
      <c r="F23" s="11">
        <f t="shared" si="0"/>
        <v>89316.584049837955</v>
      </c>
      <c r="G23" s="11">
        <f>H22*INPUT!$C$4/1200</f>
        <v>23417.944580318177</v>
      </c>
      <c r="H23" s="11">
        <f t="shared" si="1"/>
        <v>5530990.1152265249</v>
      </c>
    </row>
    <row r="24" spans="4:8" x14ac:dyDescent="0.3">
      <c r="D24" s="11">
        <v>18</v>
      </c>
      <c r="E24" s="11">
        <f>INPUT!$C$3*((INPUT!$C$4/1200)*(1+INPUT!$C$4/1200)^INPUT!$C$5/((1+INPUT!$C$4/1200)^INPUT!$C$5-1))</f>
        <v>112734.52863015613</v>
      </c>
      <c r="F24" s="11">
        <f t="shared" si="0"/>
        <v>89688.736483378947</v>
      </c>
      <c r="G24" s="11">
        <f>H23*INPUT!$C$4/1200</f>
        <v>23045.792146777188</v>
      </c>
      <c r="H24" s="11">
        <f t="shared" si="1"/>
        <v>5441301.3787431456</v>
      </c>
    </row>
    <row r="25" spans="4:8" x14ac:dyDescent="0.3">
      <c r="D25" s="11">
        <v>19</v>
      </c>
      <c r="E25" s="11">
        <f>INPUT!$C$3*((INPUT!$C$4/1200)*(1+INPUT!$C$4/1200)^INPUT!$C$5/((1+INPUT!$C$4/1200)^INPUT!$C$5-1))</f>
        <v>112734.52863015613</v>
      </c>
      <c r="F25" s="11">
        <f t="shared" si="0"/>
        <v>90062.439552059688</v>
      </c>
      <c r="G25" s="11">
        <f>H24*INPUT!$C$4/1200</f>
        <v>22672.08907809644</v>
      </c>
      <c r="H25" s="11">
        <f t="shared" si="1"/>
        <v>5351238.9391910862</v>
      </c>
    </row>
    <row r="26" spans="4:8" x14ac:dyDescent="0.3">
      <c r="D26" s="11">
        <v>20</v>
      </c>
      <c r="E26" s="11">
        <f>INPUT!$C$3*((INPUT!$C$4/1200)*(1+INPUT!$C$4/1200)^INPUT!$C$5/((1+INPUT!$C$4/1200)^INPUT!$C$5-1))</f>
        <v>112734.52863015613</v>
      </c>
      <c r="F26" s="11">
        <f t="shared" si="0"/>
        <v>90437.699716859934</v>
      </c>
      <c r="G26" s="11">
        <f>H25*INPUT!$C$4/1200</f>
        <v>22296.828913296195</v>
      </c>
      <c r="H26" s="11">
        <f t="shared" si="1"/>
        <v>5260801.2394742267</v>
      </c>
    </row>
    <row r="27" spans="4:8" x14ac:dyDescent="0.3">
      <c r="D27" s="11">
        <v>21</v>
      </c>
      <c r="E27" s="11">
        <f>INPUT!$C$3*((INPUT!$C$4/1200)*(1+INPUT!$C$4/1200)^INPUT!$C$5/((1+INPUT!$C$4/1200)^INPUT!$C$5-1))</f>
        <v>112734.52863015613</v>
      </c>
      <c r="F27" s="11">
        <f t="shared" si="0"/>
        <v>90814.523465680191</v>
      </c>
      <c r="G27" s="11">
        <f>H26*INPUT!$C$4/1200</f>
        <v>21920.005164475944</v>
      </c>
      <c r="H27" s="11">
        <f t="shared" si="1"/>
        <v>5169986.7160085468</v>
      </c>
    </row>
    <row r="28" spans="4:8" x14ac:dyDescent="0.3">
      <c r="D28" s="11">
        <v>22</v>
      </c>
      <c r="E28" s="11">
        <f>INPUT!$C$3*((INPUT!$C$4/1200)*(1+INPUT!$C$4/1200)^INPUT!$C$5/((1+INPUT!$C$4/1200)^INPUT!$C$5-1))</f>
        <v>112734.52863015613</v>
      </c>
      <c r="F28" s="11">
        <f t="shared" si="0"/>
        <v>91192.917313453858</v>
      </c>
      <c r="G28" s="11">
        <f>H27*INPUT!$C$4/1200</f>
        <v>21541.611316702278</v>
      </c>
      <c r="H28" s="11">
        <f t="shared" si="1"/>
        <v>5078793.798695093</v>
      </c>
    </row>
    <row r="29" spans="4:8" x14ac:dyDescent="0.3">
      <c r="D29" s="11">
        <v>23</v>
      </c>
      <c r="E29" s="11">
        <f>INPUT!$C$3*((INPUT!$C$4/1200)*(1+INPUT!$C$4/1200)^INPUT!$C$5/((1+INPUT!$C$4/1200)^INPUT!$C$5-1))</f>
        <v>112734.52863015613</v>
      </c>
      <c r="F29" s="11">
        <f t="shared" si="0"/>
        <v>91572.887802259909</v>
      </c>
      <c r="G29" s="11">
        <f>H28*INPUT!$C$4/1200</f>
        <v>21161.640827896223</v>
      </c>
      <c r="H29" s="11">
        <f t="shared" si="1"/>
        <v>4987220.910892833</v>
      </c>
    </row>
    <row r="30" spans="4:8" x14ac:dyDescent="0.3">
      <c r="D30" s="11">
        <v>24</v>
      </c>
      <c r="E30" s="11">
        <f>INPUT!$C$3*((INPUT!$C$4/1200)*(1+INPUT!$C$4/1200)^INPUT!$C$5/((1+INPUT!$C$4/1200)^INPUT!$C$5-1))</f>
        <v>112734.52863015613</v>
      </c>
      <c r="F30" s="11">
        <f t="shared" si="0"/>
        <v>91954.441501435998</v>
      </c>
      <c r="G30" s="11">
        <f>H29*INPUT!$C$4/1200</f>
        <v>20780.087128720137</v>
      </c>
      <c r="H30" s="11">
        <f t="shared" si="1"/>
        <v>4895266.4693913972</v>
      </c>
    </row>
    <row r="31" spans="4:8" x14ac:dyDescent="0.3">
      <c r="D31" s="11">
        <v>25</v>
      </c>
      <c r="E31" s="11">
        <f>INPUT!$C$3*((INPUT!$C$4/1200)*(1+INPUT!$C$4/1200)^INPUT!$C$5/((1+INPUT!$C$4/1200)^INPUT!$C$5-1))</f>
        <v>112734.52863015613</v>
      </c>
      <c r="F31" s="11">
        <f t="shared" si="0"/>
        <v>92337.585007691974</v>
      </c>
      <c r="G31" s="11">
        <f>H30*INPUT!$C$4/1200</f>
        <v>20396.943622464154</v>
      </c>
      <c r="H31" s="11">
        <f t="shared" si="1"/>
        <v>4802928.8843837054</v>
      </c>
    </row>
    <row r="32" spans="4:8" x14ac:dyDescent="0.3">
      <c r="D32" s="11">
        <v>26</v>
      </c>
      <c r="E32" s="11">
        <f>INPUT!$C$3*((INPUT!$C$4/1200)*(1+INPUT!$C$4/1200)^INPUT!$C$5/((1+INPUT!$C$4/1200)^INPUT!$C$5-1))</f>
        <v>112734.52863015613</v>
      </c>
      <c r="F32" s="11">
        <f t="shared" si="0"/>
        <v>92722.324945224027</v>
      </c>
      <c r="G32" s="11">
        <f>H31*INPUT!$C$4/1200</f>
        <v>20012.203684932105</v>
      </c>
      <c r="H32" s="11">
        <f t="shared" si="1"/>
        <v>4710206.559438481</v>
      </c>
    </row>
    <row r="33" spans="4:8" x14ac:dyDescent="0.3">
      <c r="D33" s="11">
        <v>27</v>
      </c>
      <c r="E33" s="11">
        <f>INPUT!$C$3*((INPUT!$C$4/1200)*(1+INPUT!$C$4/1200)^INPUT!$C$5/((1+INPUT!$C$4/1200)^INPUT!$C$5-1))</f>
        <v>112734.52863015613</v>
      </c>
      <c r="F33" s="11">
        <f t="shared" si="0"/>
        <v>93108.667965829125</v>
      </c>
      <c r="G33" s="11">
        <f>H32*INPUT!$C$4/1200</f>
        <v>19625.860664327003</v>
      </c>
      <c r="H33" s="11">
        <f t="shared" si="1"/>
        <v>4617097.8914726516</v>
      </c>
    </row>
    <row r="34" spans="4:8" x14ac:dyDescent="0.3">
      <c r="D34" s="11">
        <v>28</v>
      </c>
      <c r="E34" s="11">
        <f>INPUT!$C$3*((INPUT!$C$4/1200)*(1+INPUT!$C$4/1200)^INPUT!$C$5/((1+INPUT!$C$4/1200)^INPUT!$C$5-1))</f>
        <v>112734.52863015613</v>
      </c>
      <c r="F34" s="11">
        <f t="shared" si="0"/>
        <v>93496.620749020076</v>
      </c>
      <c r="G34" s="11">
        <f>H33*INPUT!$C$4/1200</f>
        <v>19237.907881136049</v>
      </c>
      <c r="H34" s="11">
        <f t="shared" si="1"/>
        <v>4523601.2707236316</v>
      </c>
    </row>
    <row r="35" spans="4:8" x14ac:dyDescent="0.3">
      <c r="D35" s="11">
        <v>29</v>
      </c>
      <c r="E35" s="11">
        <f>INPUT!$C$3*((INPUT!$C$4/1200)*(1+INPUT!$C$4/1200)^INPUT!$C$5/((1+INPUT!$C$4/1200)^INPUT!$C$5-1))</f>
        <v>112734.52863015613</v>
      </c>
      <c r="F35" s="11">
        <f t="shared" si="0"/>
        <v>93886.190002140997</v>
      </c>
      <c r="G35" s="11">
        <f>H34*INPUT!$C$4/1200</f>
        <v>18848.338628015132</v>
      </c>
      <c r="H35" s="11">
        <f t="shared" si="1"/>
        <v>4429715.080721491</v>
      </c>
    </row>
    <row r="36" spans="4:8" x14ac:dyDescent="0.3">
      <c r="D36" s="11">
        <v>30</v>
      </c>
      <c r="E36" s="11">
        <f>INPUT!$C$3*((INPUT!$C$4/1200)*(1+INPUT!$C$4/1200)^INPUT!$C$5/((1+INPUT!$C$4/1200)^INPUT!$C$5-1))</f>
        <v>112734.52863015613</v>
      </c>
      <c r="F36" s="11">
        <f t="shared" si="0"/>
        <v>94277.382460483248</v>
      </c>
      <c r="G36" s="11">
        <f>H35*INPUT!$C$4/1200</f>
        <v>18457.14616967288</v>
      </c>
      <c r="H36" s="11">
        <f t="shared" si="1"/>
        <v>4335437.6982610077</v>
      </c>
    </row>
    <row r="37" spans="4:8" x14ac:dyDescent="0.3">
      <c r="D37" s="11">
        <v>31</v>
      </c>
      <c r="E37" s="11">
        <f>INPUT!$C$3*((INPUT!$C$4/1200)*(1+INPUT!$C$4/1200)^INPUT!$C$5/((1+INPUT!$C$4/1200)^INPUT!$C$5-1))</f>
        <v>112734.52863015613</v>
      </c>
      <c r="F37" s="11">
        <f t="shared" si="0"/>
        <v>94670.204887401924</v>
      </c>
      <c r="G37" s="11">
        <f>H36*INPUT!$C$4/1200</f>
        <v>18064.323742754197</v>
      </c>
      <c r="H37" s="11">
        <f t="shared" si="1"/>
        <v>4240767.4933736054</v>
      </c>
    </row>
    <row r="38" spans="4:8" x14ac:dyDescent="0.3">
      <c r="D38" s="11">
        <v>32</v>
      </c>
      <c r="E38" s="11">
        <f>INPUT!$C$3*((INPUT!$C$4/1200)*(1+INPUT!$C$4/1200)^INPUT!$C$5/((1+INPUT!$C$4/1200)^INPUT!$C$5-1))</f>
        <v>112734.52863015613</v>
      </c>
      <c r="F38" s="11">
        <f t="shared" si="0"/>
        <v>95064.664074432774</v>
      </c>
      <c r="G38" s="11">
        <f>H37*INPUT!$C$4/1200</f>
        <v>17669.864555723358</v>
      </c>
      <c r="H38" s="11">
        <f t="shared" si="1"/>
        <v>4145702.8292991729</v>
      </c>
    </row>
    <row r="39" spans="4:8" x14ac:dyDescent="0.3">
      <c r="D39" s="11">
        <v>33</v>
      </c>
      <c r="E39" s="11">
        <f>INPUT!$C$3*((INPUT!$C$4/1200)*(1+INPUT!$C$4/1200)^INPUT!$C$5/((1+INPUT!$C$4/1200)^INPUT!$C$5-1))</f>
        <v>112734.52863015613</v>
      </c>
      <c r="F39" s="11">
        <f t="shared" si="0"/>
        <v>95460.766841409582</v>
      </c>
      <c r="G39" s="11">
        <f>H38*INPUT!$C$4/1200</f>
        <v>17273.761788746553</v>
      </c>
      <c r="H39" s="11">
        <f t="shared" si="1"/>
        <v>4050242.0624577631</v>
      </c>
    </row>
    <row r="40" spans="4:8" x14ac:dyDescent="0.3">
      <c r="D40" s="11">
        <v>34</v>
      </c>
      <c r="E40" s="11">
        <f>INPUT!$C$3*((INPUT!$C$4/1200)*(1+INPUT!$C$4/1200)^INPUT!$C$5/((1+INPUT!$C$4/1200)^INPUT!$C$5-1))</f>
        <v>112734.52863015613</v>
      </c>
      <c r="F40" s="11">
        <f t="shared" si="0"/>
        <v>95858.520036582107</v>
      </c>
      <c r="G40" s="11">
        <f>H39*INPUT!$C$4/1200</f>
        <v>16876.008593574014</v>
      </c>
      <c r="H40" s="11">
        <f t="shared" si="1"/>
        <v>3954383.5424211812</v>
      </c>
    </row>
    <row r="41" spans="4:8" x14ac:dyDescent="0.3">
      <c r="D41" s="11">
        <v>35</v>
      </c>
      <c r="E41" s="11">
        <f>INPUT!$C$3*((INPUT!$C$4/1200)*(1+INPUT!$C$4/1200)^INPUT!$C$5/((1+INPUT!$C$4/1200)^INPUT!$C$5-1))</f>
        <v>112734.52863015613</v>
      </c>
      <c r="F41" s="11">
        <f t="shared" si="0"/>
        <v>96257.930536734537</v>
      </c>
      <c r="G41" s="11">
        <f>H40*INPUT!$C$4/1200</f>
        <v>16476.598093421591</v>
      </c>
      <c r="H41" s="11">
        <f t="shared" si="1"/>
        <v>3858125.6118844468</v>
      </c>
    </row>
    <row r="42" spans="4:8" x14ac:dyDescent="0.3">
      <c r="D42" s="11">
        <v>36</v>
      </c>
      <c r="E42" s="11">
        <f>INPUT!$C$3*((INPUT!$C$4/1200)*(1+INPUT!$C$4/1200)^INPUT!$C$5/((1+INPUT!$C$4/1200)^INPUT!$C$5-1))</f>
        <v>112734.52863015613</v>
      </c>
      <c r="F42" s="11">
        <f t="shared" si="0"/>
        <v>96659.005247304274</v>
      </c>
      <c r="G42" s="11">
        <f>H41*INPUT!$C$4/1200</f>
        <v>16075.523382851859</v>
      </c>
      <c r="H42" s="11">
        <f t="shared" si="1"/>
        <v>3761466.6066371426</v>
      </c>
    </row>
    <row r="43" spans="4:8" x14ac:dyDescent="0.3">
      <c r="D43" s="11">
        <v>37</v>
      </c>
      <c r="E43" s="11">
        <f>INPUT!$C$3*((INPUT!$C$4/1200)*(1+INPUT!$C$4/1200)^INPUT!$C$5/((1+INPUT!$C$4/1200)^INPUT!$C$5-1))</f>
        <v>112734.52863015613</v>
      </c>
      <c r="F43" s="11">
        <f t="shared" si="0"/>
        <v>97061.751102501366</v>
      </c>
      <c r="G43" s="11">
        <f>H42*INPUT!$C$4/1200</f>
        <v>15672.77752765476</v>
      </c>
      <c r="H43" s="11">
        <f t="shared" si="1"/>
        <v>3664404.8555346411</v>
      </c>
    </row>
    <row r="44" spans="4:8" x14ac:dyDescent="0.3">
      <c r="D44" s="11">
        <v>38</v>
      </c>
      <c r="E44" s="11">
        <f>INPUT!$C$3*((INPUT!$C$4/1200)*(1+INPUT!$C$4/1200)^INPUT!$C$5/((1+INPUT!$C$4/1200)^INPUT!$C$5-1))</f>
        <v>112734.52863015613</v>
      </c>
      <c r="F44" s="11">
        <f t="shared" si="0"/>
        <v>97466.175065428455</v>
      </c>
      <c r="G44" s="11">
        <f>H43*INPUT!$C$4/1200</f>
        <v>15268.353564727673</v>
      </c>
      <c r="H44" s="11">
        <f t="shared" si="1"/>
        <v>3566938.6804692126</v>
      </c>
    </row>
    <row r="45" spans="4:8" x14ac:dyDescent="0.3">
      <c r="D45" s="11">
        <v>39</v>
      </c>
      <c r="E45" s="11">
        <f>INPUT!$C$3*((INPUT!$C$4/1200)*(1+INPUT!$C$4/1200)^INPUT!$C$5/((1+INPUT!$C$4/1200)^INPUT!$C$5-1))</f>
        <v>112734.52863015613</v>
      </c>
      <c r="F45" s="11">
        <f t="shared" si="0"/>
        <v>97872.284128201078</v>
      </c>
      <c r="G45" s="11">
        <f>H44*INPUT!$C$4/1200</f>
        <v>14862.244501955052</v>
      </c>
      <c r="H45" s="11">
        <f t="shared" si="1"/>
        <v>3469066.3963410114</v>
      </c>
    </row>
    <row r="46" spans="4:8" x14ac:dyDescent="0.3">
      <c r="D46" s="11">
        <v>40</v>
      </c>
      <c r="E46" s="11">
        <f>INPUT!$C$3*((INPUT!$C$4/1200)*(1+INPUT!$C$4/1200)^INPUT!$C$5/((1+INPUT!$C$4/1200)^INPUT!$C$5-1))</f>
        <v>112734.52863015613</v>
      </c>
      <c r="F46" s="11">
        <f t="shared" si="0"/>
        <v>98280.085312068579</v>
      </c>
      <c r="G46" s="11">
        <f>H45*INPUT!$C$4/1200</f>
        <v>14454.443318087549</v>
      </c>
      <c r="H46" s="11">
        <f t="shared" si="1"/>
        <v>3370786.3110289429</v>
      </c>
    </row>
    <row r="47" spans="4:8" x14ac:dyDescent="0.3">
      <c r="D47" s="11">
        <v>41</v>
      </c>
      <c r="E47" s="11">
        <f>INPUT!$C$3*((INPUT!$C$4/1200)*(1+INPUT!$C$4/1200)^INPUT!$C$5/((1+INPUT!$C$4/1200)^INPUT!$C$5-1))</f>
        <v>112734.52863015613</v>
      </c>
      <c r="F47" s="11">
        <f t="shared" si="0"/>
        <v>98689.585667535532</v>
      </c>
      <c r="G47" s="11">
        <f>H46*INPUT!$C$4/1200</f>
        <v>14044.942962620597</v>
      </c>
      <c r="H47" s="11">
        <f t="shared" si="1"/>
        <v>3272096.7253614073</v>
      </c>
    </row>
    <row r="48" spans="4:8" x14ac:dyDescent="0.3">
      <c r="D48" s="11">
        <v>42</v>
      </c>
      <c r="E48" s="11">
        <f>INPUT!$C$3*((INPUT!$C$4/1200)*(1+INPUT!$C$4/1200)^INPUT!$C$5/((1+INPUT!$C$4/1200)^INPUT!$C$5-1))</f>
        <v>112734.52863015613</v>
      </c>
      <c r="F48" s="11">
        <f t="shared" si="0"/>
        <v>99100.792274483596</v>
      </c>
      <c r="G48" s="11">
        <f>H47*INPUT!$C$4/1200</f>
        <v>13633.73635567253</v>
      </c>
      <c r="H48" s="11">
        <f t="shared" si="1"/>
        <v>3172995.9330869238</v>
      </c>
    </row>
    <row r="49" spans="4:8" x14ac:dyDescent="0.3">
      <c r="D49" s="11">
        <v>43</v>
      </c>
      <c r="E49" s="11">
        <f>INPUT!$C$3*((INPUT!$C$4/1200)*(1+INPUT!$C$4/1200)^INPUT!$C$5/((1+INPUT!$C$4/1200)^INPUT!$C$5-1))</f>
        <v>112734.52863015613</v>
      </c>
      <c r="F49" s="11">
        <f t="shared" si="0"/>
        <v>99513.712242293943</v>
      </c>
      <c r="G49" s="11">
        <f>H48*INPUT!$C$4/1200</f>
        <v>13220.816387862184</v>
      </c>
      <c r="H49" s="11">
        <f t="shared" si="1"/>
        <v>3073482.2208446297</v>
      </c>
    </row>
    <row r="50" spans="4:8" x14ac:dyDescent="0.3">
      <c r="D50" s="11">
        <v>44</v>
      </c>
      <c r="E50" s="11">
        <f>INPUT!$C$3*((INPUT!$C$4/1200)*(1+INPUT!$C$4/1200)^INPUT!$C$5/((1+INPUT!$C$4/1200)^INPUT!$C$5-1))</f>
        <v>112734.52863015613</v>
      </c>
      <c r="F50" s="11">
        <f t="shared" si="0"/>
        <v>99928.352709970175</v>
      </c>
      <c r="G50" s="11">
        <f>H49*INPUT!$C$4/1200</f>
        <v>12806.175920185957</v>
      </c>
      <c r="H50" s="11">
        <f t="shared" si="1"/>
        <v>2973553.8681346597</v>
      </c>
    </row>
    <row r="51" spans="4:8" x14ac:dyDescent="0.3">
      <c r="D51" s="11">
        <v>45</v>
      </c>
      <c r="E51" s="11">
        <f>INPUT!$C$3*((INPUT!$C$4/1200)*(1+INPUT!$C$4/1200)^INPUT!$C$5/((1+INPUT!$C$4/1200)^INPUT!$C$5-1))</f>
        <v>112734.52863015613</v>
      </c>
      <c r="F51" s="11">
        <f t="shared" si="0"/>
        <v>100344.72084626171</v>
      </c>
      <c r="G51" s="11">
        <f>H50*INPUT!$C$4/1200</f>
        <v>12389.807783894415</v>
      </c>
      <c r="H51" s="11">
        <f t="shared" si="1"/>
        <v>2873209.1472883979</v>
      </c>
    </row>
    <row r="52" spans="4:8" x14ac:dyDescent="0.3">
      <c r="D52" s="11">
        <v>46</v>
      </c>
      <c r="E52" s="11">
        <f>INPUT!$C$3*((INPUT!$C$4/1200)*(1+INPUT!$C$4/1200)^INPUT!$C$5/((1+INPUT!$C$4/1200)^INPUT!$C$5-1))</f>
        <v>112734.52863015613</v>
      </c>
      <c r="F52" s="11">
        <f t="shared" si="0"/>
        <v>100762.8238497878</v>
      </c>
      <c r="G52" s="11">
        <f>H51*INPUT!$C$4/1200</f>
        <v>11971.704780368324</v>
      </c>
      <c r="H52" s="11">
        <f t="shared" si="1"/>
        <v>2772446.32343861</v>
      </c>
    </row>
    <row r="53" spans="4:8" x14ac:dyDescent="0.3">
      <c r="D53" s="11">
        <v>47</v>
      </c>
      <c r="E53" s="11">
        <f>INPUT!$C$3*((INPUT!$C$4/1200)*(1+INPUT!$C$4/1200)^INPUT!$C$5/((1+INPUT!$C$4/1200)^INPUT!$C$5-1))</f>
        <v>112734.52863015613</v>
      </c>
      <c r="F53" s="11">
        <f t="shared" si="0"/>
        <v>101182.66894916192</v>
      </c>
      <c r="G53" s="11">
        <f>H52*INPUT!$C$4/1200</f>
        <v>11551.859680994208</v>
      </c>
      <c r="H53" s="11">
        <f t="shared" si="1"/>
        <v>2671263.6544894478</v>
      </c>
    </row>
    <row r="54" spans="4:8" x14ac:dyDescent="0.3">
      <c r="D54" s="11">
        <v>48</v>
      </c>
      <c r="E54" s="11">
        <f>INPUT!$C$3*((INPUT!$C$4/1200)*(1+INPUT!$C$4/1200)^INPUT!$C$5/((1+INPUT!$C$4/1200)^INPUT!$C$5-1))</f>
        <v>112734.52863015613</v>
      </c>
      <c r="F54" s="11">
        <f t="shared" si="0"/>
        <v>101604.26340311675</v>
      </c>
      <c r="G54" s="11">
        <f>H53*INPUT!$C$4/1200</f>
        <v>11130.265227039366</v>
      </c>
      <c r="H54" s="11">
        <f t="shared" si="1"/>
        <v>2569659.3910863311</v>
      </c>
    </row>
    <row r="55" spans="4:8" x14ac:dyDescent="0.3">
      <c r="D55" s="11">
        <v>49</v>
      </c>
      <c r="E55" s="11">
        <f>INPUT!$C$3*((INPUT!$C$4/1200)*(1+INPUT!$C$4/1200)^INPUT!$C$5/((1+INPUT!$C$4/1200)^INPUT!$C$5-1))</f>
        <v>112734.52863015613</v>
      </c>
      <c r="F55" s="11">
        <f t="shared" si="0"/>
        <v>102027.61450062974</v>
      </c>
      <c r="G55" s="11">
        <f>H54*INPUT!$C$4/1200</f>
        <v>10706.91412952638</v>
      </c>
      <c r="H55" s="11">
        <f t="shared" si="1"/>
        <v>2467631.7765857014</v>
      </c>
    </row>
    <row r="56" spans="4:8" x14ac:dyDescent="0.3">
      <c r="D56" s="11">
        <v>50</v>
      </c>
      <c r="E56" s="11">
        <f>INPUT!$C$3*((INPUT!$C$4/1200)*(1+INPUT!$C$4/1200)^INPUT!$C$5/((1+INPUT!$C$4/1200)^INPUT!$C$5-1))</f>
        <v>112734.52863015613</v>
      </c>
      <c r="F56" s="11">
        <f t="shared" si="0"/>
        <v>102452.72956104904</v>
      </c>
      <c r="G56" s="11">
        <f>H55*INPUT!$C$4/1200</f>
        <v>10281.79906910709</v>
      </c>
      <c r="H56" s="11">
        <f t="shared" si="1"/>
        <v>2365179.0470246524</v>
      </c>
    </row>
    <row r="57" spans="4:8" x14ac:dyDescent="0.3">
      <c r="D57" s="11">
        <v>51</v>
      </c>
      <c r="E57" s="11">
        <f>INPUT!$C$3*((INPUT!$C$4/1200)*(1+INPUT!$C$4/1200)^INPUT!$C$5/((1+INPUT!$C$4/1200)^INPUT!$C$5-1))</f>
        <v>112734.52863015613</v>
      </c>
      <c r="F57" s="11">
        <f t="shared" si="0"/>
        <v>102879.61593422008</v>
      </c>
      <c r="G57" s="11">
        <f>H56*INPUT!$C$4/1200</f>
        <v>9854.912695936051</v>
      </c>
      <c r="H57" s="11">
        <f t="shared" si="1"/>
        <v>2262299.4310904322</v>
      </c>
    </row>
    <row r="58" spans="4:8" x14ac:dyDescent="0.3">
      <c r="D58" s="11">
        <v>52</v>
      </c>
      <c r="E58" s="11">
        <f>INPUT!$C$3*((INPUT!$C$4/1200)*(1+INPUT!$C$4/1200)^INPUT!$C$5/((1+INPUT!$C$4/1200)^INPUT!$C$5-1))</f>
        <v>112734.52863015613</v>
      </c>
      <c r="F58" s="11">
        <f t="shared" si="0"/>
        <v>103308.28100061265</v>
      </c>
      <c r="G58" s="11">
        <f>H57*INPUT!$C$4/1200</f>
        <v>9426.2476295434681</v>
      </c>
      <c r="H58" s="11">
        <f t="shared" si="1"/>
        <v>2158991.1500898194</v>
      </c>
    </row>
    <row r="59" spans="4:8" x14ac:dyDescent="0.3">
      <c r="D59" s="11">
        <v>53</v>
      </c>
      <c r="E59" s="11">
        <f>INPUT!$C$3*((INPUT!$C$4/1200)*(1+INPUT!$C$4/1200)^INPUT!$C$5/((1+INPUT!$C$4/1200)^INPUT!$C$5-1))</f>
        <v>112734.52863015613</v>
      </c>
      <c r="F59" s="11">
        <f t="shared" si="0"/>
        <v>103738.73217144854</v>
      </c>
      <c r="G59" s="11">
        <f>H58*INPUT!$C$4/1200</f>
        <v>8995.7964587075803</v>
      </c>
      <c r="H59" s="11">
        <f t="shared" si="1"/>
        <v>2055252.4179183708</v>
      </c>
    </row>
    <row r="60" spans="4:8" x14ac:dyDescent="0.3">
      <c r="D60" s="11">
        <v>54</v>
      </c>
      <c r="E60" s="11">
        <f>INPUT!$C$3*((INPUT!$C$4/1200)*(1+INPUT!$C$4/1200)^INPUT!$C$5/((1+INPUT!$C$4/1200)^INPUT!$C$5-1))</f>
        <v>112734.52863015613</v>
      </c>
      <c r="F60" s="11">
        <f t="shared" si="0"/>
        <v>104170.97688882958</v>
      </c>
      <c r="G60" s="11">
        <f>H59*INPUT!$C$4/1200</f>
        <v>8563.5517413265443</v>
      </c>
      <c r="H60" s="11">
        <f t="shared" si="1"/>
        <v>1951081.4410295412</v>
      </c>
    </row>
    <row r="61" spans="4:8" x14ac:dyDescent="0.3">
      <c r="D61" s="11">
        <v>55</v>
      </c>
      <c r="E61" s="11">
        <f>INPUT!$C$3*((INPUT!$C$4/1200)*(1+INPUT!$C$4/1200)^INPUT!$C$5/((1+INPUT!$C$4/1200)^INPUT!$C$5-1))</f>
        <v>112734.52863015613</v>
      </c>
      <c r="F61" s="11">
        <f t="shared" si="0"/>
        <v>104605.02262586638</v>
      </c>
      <c r="G61" s="11">
        <f>H60*INPUT!$C$4/1200</f>
        <v>8129.5060042897549</v>
      </c>
      <c r="H61" s="11">
        <f t="shared" si="1"/>
        <v>1846476.4184036748</v>
      </c>
    </row>
    <row r="62" spans="4:8" x14ac:dyDescent="0.3">
      <c r="D62" s="11">
        <v>56</v>
      </c>
      <c r="E62" s="11">
        <f>INPUT!$C$3*((INPUT!$C$4/1200)*(1+INPUT!$C$4/1200)^INPUT!$C$5/((1+INPUT!$C$4/1200)^INPUT!$C$5-1))</f>
        <v>112734.52863015613</v>
      </c>
      <c r="F62" s="11">
        <f t="shared" si="0"/>
        <v>105040.87688680748</v>
      </c>
      <c r="G62" s="11">
        <f>H61*INPUT!$C$4/1200</f>
        <v>7693.6517433486442</v>
      </c>
      <c r="H62" s="11">
        <f t="shared" si="1"/>
        <v>1741435.5415168675</v>
      </c>
    </row>
    <row r="63" spans="4:8" x14ac:dyDescent="0.3">
      <c r="D63" s="11">
        <v>57</v>
      </c>
      <c r="E63" s="11">
        <f>INPUT!$C$3*((INPUT!$C$4/1200)*(1+INPUT!$C$4/1200)^INPUT!$C$5/((1+INPUT!$C$4/1200)^INPUT!$C$5-1))</f>
        <v>112734.52863015613</v>
      </c>
      <c r="F63" s="11">
        <f t="shared" si="0"/>
        <v>105478.54720716918</v>
      </c>
      <c r="G63" s="11">
        <f>H62*INPUT!$C$4/1200</f>
        <v>7255.9814229869471</v>
      </c>
      <c r="H63" s="11">
        <f t="shared" si="1"/>
        <v>1635956.9943096982</v>
      </c>
    </row>
    <row r="64" spans="4:8" x14ac:dyDescent="0.3">
      <c r="D64" s="11">
        <v>58</v>
      </c>
      <c r="E64" s="11">
        <f>INPUT!$C$3*((INPUT!$C$4/1200)*(1+INPUT!$C$4/1200)^INPUT!$C$5/((1+INPUT!$C$4/1200)^INPUT!$C$5-1))</f>
        <v>112734.52863015613</v>
      </c>
      <c r="F64" s="11">
        <f t="shared" si="0"/>
        <v>105918.04115386572</v>
      </c>
      <c r="G64" s="11">
        <f>H63*INPUT!$C$4/1200</f>
        <v>6816.4874762904092</v>
      </c>
      <c r="H64" s="11">
        <f t="shared" si="1"/>
        <v>1530038.9531558326</v>
      </c>
    </row>
    <row r="65" spans="4:8" x14ac:dyDescent="0.3">
      <c r="D65" s="11">
        <v>59</v>
      </c>
      <c r="E65" s="11">
        <f>INPUT!$C$3*((INPUT!$C$4/1200)*(1+INPUT!$C$4/1200)^INPUT!$C$5/((1+INPUT!$C$4/1200)^INPUT!$C$5-1))</f>
        <v>112734.52863015613</v>
      </c>
      <c r="F65" s="11">
        <f t="shared" si="0"/>
        <v>106359.36632534016</v>
      </c>
      <c r="G65" s="11">
        <f>H64*INPUT!$C$4/1200</f>
        <v>6375.162304815969</v>
      </c>
      <c r="H65" s="11">
        <f t="shared" si="1"/>
        <v>1423679.5868304924</v>
      </c>
    </row>
    <row r="66" spans="4:8" x14ac:dyDescent="0.3">
      <c r="D66" s="11">
        <v>60</v>
      </c>
      <c r="E66" s="11">
        <f>INPUT!$C$3*((INPUT!$C$4/1200)*(1+INPUT!$C$4/1200)^INPUT!$C$5/((1+INPUT!$C$4/1200)^INPUT!$C$5-1))</f>
        <v>112734.52863015613</v>
      </c>
      <c r="F66" s="11">
        <f t="shared" si="0"/>
        <v>106802.53035169575</v>
      </c>
      <c r="G66" s="11">
        <f>H65*INPUT!$C$4/1200</f>
        <v>5931.9982784603844</v>
      </c>
      <c r="H66" s="11">
        <f t="shared" si="1"/>
        <v>1316877.0564787965</v>
      </c>
    </row>
    <row r="67" spans="4:8" x14ac:dyDescent="0.3">
      <c r="D67" s="11">
        <v>61</v>
      </c>
      <c r="E67" s="11">
        <f>INPUT!$C$3*((INPUT!$C$4/1200)*(1+INPUT!$C$4/1200)^INPUT!$C$5/((1+INPUT!$C$4/1200)^INPUT!$C$5-1))</f>
        <v>112734.52863015613</v>
      </c>
      <c r="F67" s="11">
        <f t="shared" si="0"/>
        <v>107247.54089482781</v>
      </c>
      <c r="G67" s="11">
        <f>H66*INPUT!$C$4/1200</f>
        <v>5486.9877353283191</v>
      </c>
      <c r="H67" s="11">
        <f t="shared" si="1"/>
        <v>1209629.5155839687</v>
      </c>
    </row>
    <row r="68" spans="4:8" x14ac:dyDescent="0.3">
      <c r="D68" s="11">
        <v>62</v>
      </c>
      <c r="E68" s="11">
        <f>INPUT!$C$3*((INPUT!$C$4/1200)*(1+INPUT!$C$4/1200)^INPUT!$C$5/((1+INPUT!$C$4/1200)^INPUT!$C$5-1))</f>
        <v>112734.52863015613</v>
      </c>
      <c r="F68" s="11">
        <f t="shared" si="0"/>
        <v>107694.40564855626</v>
      </c>
      <c r="G68" s="11">
        <f>H67*INPUT!$C$4/1200</f>
        <v>5040.1229815998695</v>
      </c>
      <c r="H68" s="11">
        <f t="shared" si="1"/>
        <v>1101935.1099354124</v>
      </c>
    </row>
    <row r="69" spans="4:8" x14ac:dyDescent="0.3">
      <c r="D69" s="11">
        <v>63</v>
      </c>
      <c r="E69" s="11">
        <f>INPUT!$C$3*((INPUT!$C$4/1200)*(1+INPUT!$C$4/1200)^INPUT!$C$5/((1+INPUT!$C$4/1200)^INPUT!$C$5-1))</f>
        <v>112734.52863015613</v>
      </c>
      <c r="F69" s="11">
        <f t="shared" si="0"/>
        <v>108143.13233875857</v>
      </c>
      <c r="G69" s="11">
        <f>H68*INPUT!$C$4/1200</f>
        <v>4591.396291397552</v>
      </c>
      <c r="H69" s="11">
        <f t="shared" si="1"/>
        <v>993791.97759665386</v>
      </c>
    </row>
    <row r="70" spans="4:8" x14ac:dyDescent="0.3">
      <c r="D70" s="11">
        <v>64</v>
      </c>
      <c r="E70" s="11">
        <f>INPUT!$C$3*((INPUT!$C$4/1200)*(1+INPUT!$C$4/1200)^INPUT!$C$5/((1+INPUT!$C$4/1200)^INPUT!$C$5-1))</f>
        <v>112734.52863015613</v>
      </c>
      <c r="F70" s="11">
        <f t="shared" si="0"/>
        <v>108593.7287235034</v>
      </c>
      <c r="G70" s="11">
        <f>H69*INPUT!$C$4/1200</f>
        <v>4140.7999066527245</v>
      </c>
      <c r="H70" s="11">
        <f t="shared" si="1"/>
        <v>885198.24887315044</v>
      </c>
    </row>
    <row r="71" spans="4:8" x14ac:dyDescent="0.3">
      <c r="D71" s="11">
        <v>65</v>
      </c>
      <c r="E71" s="11">
        <f>INPUT!$C$3*((INPUT!$C$4/1200)*(1+INPUT!$C$4/1200)^INPUT!$C$5/((1+INPUT!$C$4/1200)^INPUT!$C$5-1))</f>
        <v>112734.52863015613</v>
      </c>
      <c r="F71" s="11">
        <f t="shared" si="0"/>
        <v>109046.20259318467</v>
      </c>
      <c r="G71" s="11">
        <f>H70*INPUT!$C$4/1200</f>
        <v>3688.3260369714599</v>
      </c>
      <c r="H71" s="11">
        <f t="shared" si="1"/>
        <v>776152.04627996578</v>
      </c>
    </row>
    <row r="72" spans="4:8" x14ac:dyDescent="0.3">
      <c r="D72" s="11">
        <v>66</v>
      </c>
      <c r="E72" s="11">
        <f>INPUT!$C$3*((INPUT!$C$4/1200)*(1+INPUT!$C$4/1200)^INPUT!$C$5/((1+INPUT!$C$4/1200)^INPUT!$C$5-1))</f>
        <v>112734.52863015613</v>
      </c>
      <c r="F72" s="11">
        <f t="shared" si="0"/>
        <v>109500.56177065628</v>
      </c>
      <c r="G72" s="11">
        <f>H71*INPUT!$C$4/1200</f>
        <v>3233.9668594998575</v>
      </c>
      <c r="H72" s="11">
        <f t="shared" si="1"/>
        <v>666651.48450930952</v>
      </c>
    </row>
    <row r="73" spans="4:8" x14ac:dyDescent="0.3">
      <c r="D73" s="11">
        <v>67</v>
      </c>
      <c r="E73" s="11">
        <f>INPUT!$C$3*((INPUT!$C$4/1200)*(1+INPUT!$C$4/1200)^INPUT!$C$5/((1+INPUT!$C$4/1200)^INPUT!$C$5-1))</f>
        <v>112734.52863015613</v>
      </c>
      <c r="F73" s="11">
        <f t="shared" ref="F73:F78" si="2">E73-G73</f>
        <v>109956.81411136733</v>
      </c>
      <c r="G73" s="11">
        <f>H72*INPUT!$C$4/1200</f>
        <v>2777.71451878879</v>
      </c>
      <c r="H73" s="11">
        <f t="shared" ref="H73:H78" si="3">H72-F73</f>
        <v>556694.67039794219</v>
      </c>
    </row>
    <row r="74" spans="4:8" x14ac:dyDescent="0.3">
      <c r="D74" s="11">
        <v>68</v>
      </c>
      <c r="E74" s="11">
        <f>INPUT!$C$3*((INPUT!$C$4/1200)*(1+INPUT!$C$4/1200)^INPUT!$C$5/((1+INPUT!$C$4/1200)^INPUT!$C$5-1))</f>
        <v>112734.52863015613</v>
      </c>
      <c r="F74" s="11">
        <f t="shared" si="2"/>
        <v>110414.96750349803</v>
      </c>
      <c r="G74" s="11">
        <f>H73*INPUT!$C$4/1200</f>
        <v>2319.5611266580922</v>
      </c>
      <c r="H74" s="11">
        <f t="shared" si="3"/>
        <v>446279.70289444417</v>
      </c>
    </row>
    <row r="75" spans="4:8" x14ac:dyDescent="0.3">
      <c r="D75" s="11">
        <v>69</v>
      </c>
      <c r="E75" s="11">
        <f>INPUT!$C$3*((INPUT!$C$4/1200)*(1+INPUT!$C$4/1200)^INPUT!$C$5/((1+INPUT!$C$4/1200)^INPUT!$C$5-1))</f>
        <v>112734.52863015613</v>
      </c>
      <c r="F75" s="11">
        <f t="shared" si="2"/>
        <v>110875.02986809594</v>
      </c>
      <c r="G75" s="11">
        <f>H74*INPUT!$C$4/1200</f>
        <v>1859.4987620601842</v>
      </c>
      <c r="H75" s="11">
        <f t="shared" si="3"/>
        <v>335404.67302634823</v>
      </c>
    </row>
    <row r="76" spans="4:8" x14ac:dyDescent="0.3">
      <c r="D76" s="11">
        <v>70</v>
      </c>
      <c r="E76" s="11">
        <f>INPUT!$C$3*((INPUT!$C$4/1200)*(1+INPUT!$C$4/1200)^INPUT!$C$5/((1+INPUT!$C$4/1200)^INPUT!$C$5-1))</f>
        <v>112734.52863015613</v>
      </c>
      <c r="F76" s="11">
        <f t="shared" si="2"/>
        <v>111337.009159213</v>
      </c>
      <c r="G76" s="11">
        <f>H75*INPUT!$C$4/1200</f>
        <v>1397.5194709431175</v>
      </c>
      <c r="H76" s="11">
        <f t="shared" si="3"/>
        <v>224067.66386713524</v>
      </c>
    </row>
    <row r="77" spans="4:8" x14ac:dyDescent="0.3">
      <c r="D77" s="11">
        <v>71</v>
      </c>
      <c r="E77" s="11">
        <f>INPUT!$C$3*((INPUT!$C$4/1200)*(1+INPUT!$C$4/1200)^INPUT!$C$5/((1+INPUT!$C$4/1200)^INPUT!$C$5-1))</f>
        <v>112734.52863015613</v>
      </c>
      <c r="F77" s="11">
        <f t="shared" si="2"/>
        <v>111800.91336404307</v>
      </c>
      <c r="G77" s="11">
        <f>H76*INPUT!$C$4/1200</f>
        <v>933.61526611306351</v>
      </c>
      <c r="H77" s="11">
        <f t="shared" si="3"/>
        <v>112266.75050309217</v>
      </c>
    </row>
    <row r="78" spans="4:8" x14ac:dyDescent="0.3">
      <c r="D78" s="11">
        <v>72</v>
      </c>
      <c r="E78" s="11">
        <f>INPUT!$C$3*((INPUT!$C$4/1200)*(1+INPUT!$C$4/1200)^INPUT!$C$5/((1+INPUT!$C$4/1200)^INPUT!$C$5-1))</f>
        <v>112734.52863015613</v>
      </c>
      <c r="F78" s="11">
        <f t="shared" si="2"/>
        <v>112266.75050305991</v>
      </c>
      <c r="G78" s="11">
        <f>H77*INPUT!$C$4/1200</f>
        <v>467.77812709621736</v>
      </c>
      <c r="H78" s="11">
        <f t="shared" si="3"/>
        <v>3.226159606128931E-8</v>
      </c>
    </row>
    <row r="79" spans="4:8" x14ac:dyDescent="0.3">
      <c r="D79" s="13" t="s">
        <v>6</v>
      </c>
      <c r="E79" s="14">
        <f>SUM(E7:E78)</f>
        <v>8116886.061371238</v>
      </c>
      <c r="F79" s="14">
        <f t="shared" ref="F79:G79" si="4">SUM(F7:F78)</f>
        <v>6999999.9999999693</v>
      </c>
      <c r="G79" s="14">
        <f t="shared" si="4"/>
        <v>1116886.0613712717</v>
      </c>
      <c r="H79" s="15"/>
    </row>
  </sheetData>
  <mergeCells count="1">
    <mergeCell ref="D5:H5"/>
  </mergeCells>
  <pageMargins left="0.7" right="0.7" top="0.75" bottom="0.75" header="0.3" footer="0.3"/>
  <pageSetup paperSize="9" orientation="portrait" r:id="rId1"/>
  <headerFooter>
    <oddHeader>&amp;L&amp;"Calibri"&amp;10&amp;K000000ВНУТРЕННЯЯ ИНФОРМАЦИЯ&amp;1#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E5EBC-3274-4AC4-9EFA-6F52F7FCE0C1}">
  <dimension ref="A2:N80"/>
  <sheetViews>
    <sheetView workbookViewId="0">
      <selection activeCell="M14" sqref="M14"/>
    </sheetView>
  </sheetViews>
  <sheetFormatPr defaultRowHeight="14.4" x14ac:dyDescent="0.3"/>
  <cols>
    <col min="1" max="1" width="15.88671875" customWidth="1"/>
    <col min="2" max="2" width="12.109375" customWidth="1"/>
    <col min="4" max="4" width="7.33203125" bestFit="1" customWidth="1"/>
    <col min="5" max="8" width="14.6640625" customWidth="1"/>
    <col min="11" max="13" width="13.77734375" customWidth="1"/>
  </cols>
  <sheetData>
    <row r="2" spans="1:14" x14ac:dyDescent="0.3">
      <c r="A2" s="8"/>
      <c r="B2" s="10"/>
    </row>
    <row r="3" spans="1:14" x14ac:dyDescent="0.3">
      <c r="A3" s="8"/>
      <c r="B3" s="10"/>
    </row>
    <row r="4" spans="1:14" ht="15" thickBot="1" x14ac:dyDescent="0.35">
      <c r="A4" s="8"/>
      <c r="B4" s="10"/>
    </row>
    <row r="5" spans="1:14" ht="16.2" thickBot="1" x14ac:dyDescent="0.35">
      <c r="D5" s="59" t="s">
        <v>11</v>
      </c>
      <c r="E5" s="59"/>
      <c r="F5" s="59"/>
      <c r="G5" s="59"/>
      <c r="H5" s="59"/>
    </row>
    <row r="6" spans="1:14" ht="45.6" thickBot="1" x14ac:dyDescent="0.35">
      <c r="D6" s="24" t="s">
        <v>5</v>
      </c>
      <c r="E6" s="24" t="s">
        <v>7</v>
      </c>
      <c r="F6" s="24" t="s">
        <v>8</v>
      </c>
      <c r="G6" s="24" t="s">
        <v>9</v>
      </c>
      <c r="H6" s="24" t="s">
        <v>10</v>
      </c>
      <c r="K6" s="24" t="s">
        <v>12</v>
      </c>
      <c r="L6" s="24" t="s">
        <v>8</v>
      </c>
      <c r="M6" s="24" t="s">
        <v>9</v>
      </c>
      <c r="N6" s="23"/>
    </row>
    <row r="7" spans="1:14" ht="15" thickBot="1" x14ac:dyDescent="0.35">
      <c r="D7" s="18">
        <v>1</v>
      </c>
      <c r="E7" s="19">
        <f>INPUT!$C$3/INPUT!$C$5+(INPUT!$C$3-(INPUT!$C$3/INPUT!$C$5)*(D7-1))*INPUT!$C$4/1200</f>
        <v>126388.88888888889</v>
      </c>
      <c r="F7" s="19">
        <f>E7-G7</f>
        <v>97222.222222222219</v>
      </c>
      <c r="G7" s="19">
        <f>INPUT!C3*INPUT!C4/1200</f>
        <v>29166.666666666668</v>
      </c>
      <c r="H7" s="19">
        <f>INPUT!C3-F7</f>
        <v>6902777.777777778</v>
      </c>
      <c r="J7" s="25" t="s">
        <v>6</v>
      </c>
      <c r="K7" s="30">
        <v>8064583.333333333</v>
      </c>
      <c r="L7" s="30">
        <v>6999999.9999999898</v>
      </c>
      <c r="M7" s="30">
        <v>1064583.3333333347</v>
      </c>
    </row>
    <row r="8" spans="1:14" x14ac:dyDescent="0.3">
      <c r="D8" s="16">
        <v>2</v>
      </c>
      <c r="E8" s="17">
        <f>INPUT!$C$3/INPUT!$C$5+(INPUT!$C$3-(INPUT!$C$3/INPUT!$C$5)*(D8-1))*INPUT!$C$4/1200</f>
        <v>125983.79629629629</v>
      </c>
      <c r="F8" s="17">
        <f t="shared" ref="F8:F71" si="0">E8-G8</f>
        <v>97222.222222222219</v>
      </c>
      <c r="G8" s="17">
        <f>H7*INPUT!$C$4/1200</f>
        <v>28761.574074074073</v>
      </c>
      <c r="H8" s="17">
        <f>H7-F8</f>
        <v>6805555.555555556</v>
      </c>
    </row>
    <row r="9" spans="1:14" x14ac:dyDescent="0.3">
      <c r="D9" s="16">
        <v>3</v>
      </c>
      <c r="E9" s="17">
        <f>INPUT!$C$3/INPUT!$C$5+(INPUT!$C$3-(INPUT!$C$3/INPUT!$C$5)*(D9-1))*INPUT!$C$4/1200</f>
        <v>125578.70370370371</v>
      </c>
      <c r="F9" s="17">
        <f t="shared" si="0"/>
        <v>97222.222222222219</v>
      </c>
      <c r="G9" s="17">
        <f>H8*INPUT!$C$4/1200</f>
        <v>28356.481481481482</v>
      </c>
      <c r="H9" s="17">
        <f t="shared" ref="H9:H72" si="1">H8-F9</f>
        <v>6708333.333333334</v>
      </c>
    </row>
    <row r="10" spans="1:14" x14ac:dyDescent="0.3">
      <c r="D10" s="16">
        <v>4</v>
      </c>
      <c r="E10" s="17">
        <f>INPUT!$C$3/INPUT!$C$5+(INPUT!$C$3-(INPUT!$C$3/INPUT!$C$5)*(D10-1))*INPUT!$C$4/1200</f>
        <v>125173.61111111111</v>
      </c>
      <c r="F10" s="17">
        <f t="shared" si="0"/>
        <v>97222.222222222219</v>
      </c>
      <c r="G10" s="17">
        <f>H9*INPUT!$C$4/1200</f>
        <v>27951.388888888894</v>
      </c>
      <c r="H10" s="17">
        <f t="shared" si="1"/>
        <v>6611111.1111111119</v>
      </c>
    </row>
    <row r="11" spans="1:14" x14ac:dyDescent="0.3">
      <c r="D11" s="16">
        <v>5</v>
      </c>
      <c r="E11" s="17">
        <f>INPUT!$C$3/INPUT!$C$5+(INPUT!$C$3-(INPUT!$C$3/INPUT!$C$5)*(D11-1))*INPUT!$C$4/1200</f>
        <v>124768.51851851851</v>
      </c>
      <c r="F11" s="17">
        <f t="shared" si="0"/>
        <v>97222.222222222219</v>
      </c>
      <c r="G11" s="17">
        <f>H10*INPUT!$C$4/1200</f>
        <v>27546.296296296299</v>
      </c>
      <c r="H11" s="17">
        <f t="shared" si="1"/>
        <v>6513888.8888888899</v>
      </c>
    </row>
    <row r="12" spans="1:14" x14ac:dyDescent="0.3">
      <c r="D12" s="16">
        <v>6</v>
      </c>
      <c r="E12" s="17">
        <f>INPUT!$C$3/INPUT!$C$5+(INPUT!$C$3-(INPUT!$C$3/INPUT!$C$5)*(D12-1))*INPUT!$C$4/1200</f>
        <v>124363.42592592593</v>
      </c>
      <c r="F12" s="17">
        <f t="shared" si="0"/>
        <v>97222.222222222219</v>
      </c>
      <c r="G12" s="17">
        <f>H11*INPUT!$C$4/1200</f>
        <v>27141.203703703708</v>
      </c>
      <c r="H12" s="17">
        <f t="shared" si="1"/>
        <v>6416666.6666666679</v>
      </c>
    </row>
    <row r="13" spans="1:14" x14ac:dyDescent="0.3">
      <c r="D13" s="16">
        <v>7</v>
      </c>
      <c r="E13" s="17">
        <f>INPUT!$C$3/INPUT!$C$5+(INPUT!$C$3-(INPUT!$C$3/INPUT!$C$5)*(D13-1))*INPUT!$C$4/1200</f>
        <v>123958.33333333333</v>
      </c>
      <c r="F13" s="17">
        <f t="shared" si="0"/>
        <v>97222.222222222219</v>
      </c>
      <c r="G13" s="17">
        <f>H12*INPUT!$C$4/1200</f>
        <v>26736.111111111117</v>
      </c>
      <c r="H13" s="17">
        <f t="shared" si="1"/>
        <v>6319444.4444444459</v>
      </c>
    </row>
    <row r="14" spans="1:14" x14ac:dyDescent="0.3">
      <c r="C14" s="1"/>
      <c r="D14" s="16">
        <v>8</v>
      </c>
      <c r="E14" s="17">
        <f>INPUT!$C$3/INPUT!$C$5+(INPUT!$C$3-(INPUT!$C$3/INPUT!$C$5)*(D14-1))*INPUT!$C$4/1200</f>
        <v>123553.24074074073</v>
      </c>
      <c r="F14" s="17">
        <f t="shared" si="0"/>
        <v>97222.222222222204</v>
      </c>
      <c r="G14" s="17">
        <f>H13*INPUT!$C$4/1200</f>
        <v>26331.018518518526</v>
      </c>
      <c r="H14" s="17">
        <f t="shared" si="1"/>
        <v>6222222.2222222239</v>
      </c>
    </row>
    <row r="15" spans="1:14" x14ac:dyDescent="0.3">
      <c r="D15" s="16">
        <v>9</v>
      </c>
      <c r="E15" s="17">
        <f>INPUT!$C$3/INPUT!$C$5+(INPUT!$C$3-(INPUT!$C$3/INPUT!$C$5)*(D15-1))*INPUT!$C$4/1200</f>
        <v>123148.14814814815</v>
      </c>
      <c r="F15" s="17">
        <f t="shared" si="0"/>
        <v>97222.222222222219</v>
      </c>
      <c r="G15" s="17">
        <f>H14*INPUT!$C$4/1200</f>
        <v>25925.925925925934</v>
      </c>
      <c r="H15" s="17">
        <f t="shared" si="1"/>
        <v>6125000.0000000019</v>
      </c>
    </row>
    <row r="16" spans="1:14" x14ac:dyDescent="0.3">
      <c r="D16" s="16">
        <v>10</v>
      </c>
      <c r="E16" s="17">
        <f>INPUT!$C$3/INPUT!$C$5+(INPUT!$C$3-(INPUT!$C$3/INPUT!$C$5)*(D16-1))*INPUT!$C$4/1200</f>
        <v>122743.05555555555</v>
      </c>
      <c r="F16" s="17">
        <f t="shared" si="0"/>
        <v>97222.222222222204</v>
      </c>
      <c r="G16" s="17">
        <f>H15*INPUT!$C$4/1200</f>
        <v>25520.833333333339</v>
      </c>
      <c r="H16" s="17">
        <f t="shared" si="1"/>
        <v>6027777.7777777798</v>
      </c>
    </row>
    <row r="17" spans="4:8" x14ac:dyDescent="0.3">
      <c r="D17" s="16">
        <v>11</v>
      </c>
      <c r="E17" s="17">
        <f>INPUT!$C$3/INPUT!$C$5+(INPUT!$C$3-(INPUT!$C$3/INPUT!$C$5)*(D17-1))*INPUT!$C$4/1200</f>
        <v>122337.96296296296</v>
      </c>
      <c r="F17" s="17">
        <f t="shared" si="0"/>
        <v>97222.222222222219</v>
      </c>
      <c r="G17" s="17">
        <f>H16*INPUT!$C$4/1200</f>
        <v>25115.740740740748</v>
      </c>
      <c r="H17" s="17">
        <f t="shared" si="1"/>
        <v>5930555.5555555578</v>
      </c>
    </row>
    <row r="18" spans="4:8" x14ac:dyDescent="0.3">
      <c r="D18" s="16">
        <v>12</v>
      </c>
      <c r="E18" s="17">
        <f>INPUT!$C$3/INPUT!$C$5+(INPUT!$C$3-(INPUT!$C$3/INPUT!$C$5)*(D18-1))*INPUT!$C$4/1200</f>
        <v>121932.87037037036</v>
      </c>
      <c r="F18" s="17">
        <f t="shared" si="0"/>
        <v>97222.222222222204</v>
      </c>
      <c r="G18" s="17">
        <f>H17*INPUT!$C$4/1200</f>
        <v>24710.648148148161</v>
      </c>
      <c r="H18" s="17">
        <f t="shared" si="1"/>
        <v>5833333.3333333358</v>
      </c>
    </row>
    <row r="19" spans="4:8" x14ac:dyDescent="0.3">
      <c r="D19" s="16">
        <v>13</v>
      </c>
      <c r="E19" s="17">
        <f>INPUT!$C$3/INPUT!$C$5+(INPUT!$C$3-(INPUT!$C$3/INPUT!$C$5)*(D19-1))*INPUT!$C$4/1200</f>
        <v>121527.77777777778</v>
      </c>
      <c r="F19" s="17">
        <f t="shared" si="0"/>
        <v>97222.222222222219</v>
      </c>
      <c r="G19" s="17">
        <f>H18*INPUT!$C$4/1200</f>
        <v>24305.555555555566</v>
      </c>
      <c r="H19" s="17">
        <f t="shared" si="1"/>
        <v>5736111.1111111138</v>
      </c>
    </row>
    <row r="20" spans="4:8" x14ac:dyDescent="0.3">
      <c r="D20" s="16">
        <v>14</v>
      </c>
      <c r="E20" s="17">
        <f>INPUT!$C$3/INPUT!$C$5+(INPUT!$C$3-(INPUT!$C$3/INPUT!$C$5)*(D20-1))*INPUT!$C$4/1200</f>
        <v>121122.68518518518</v>
      </c>
      <c r="F20" s="17">
        <f t="shared" si="0"/>
        <v>97222.222222222204</v>
      </c>
      <c r="G20" s="17">
        <f>H19*INPUT!$C$4/1200</f>
        <v>23900.462962962974</v>
      </c>
      <c r="H20" s="17">
        <f t="shared" si="1"/>
        <v>5638888.8888888918</v>
      </c>
    </row>
    <row r="21" spans="4:8" x14ac:dyDescent="0.3">
      <c r="D21" s="16">
        <v>15</v>
      </c>
      <c r="E21" s="17">
        <f>INPUT!$C$3/INPUT!$C$5+(INPUT!$C$3-(INPUT!$C$3/INPUT!$C$5)*(D21-1))*INPUT!$C$4/1200</f>
        <v>120717.59259259258</v>
      </c>
      <c r="F21" s="17">
        <f t="shared" si="0"/>
        <v>97222.222222222204</v>
      </c>
      <c r="G21" s="17">
        <f>H20*INPUT!$C$4/1200</f>
        <v>23495.370370370383</v>
      </c>
      <c r="H21" s="17">
        <f t="shared" si="1"/>
        <v>5541666.6666666698</v>
      </c>
    </row>
    <row r="22" spans="4:8" x14ac:dyDescent="0.3">
      <c r="D22" s="16">
        <v>16</v>
      </c>
      <c r="E22" s="17">
        <f>INPUT!$C$3/INPUT!$C$5+(INPUT!$C$3-(INPUT!$C$3/INPUT!$C$5)*(D22-1))*INPUT!$C$4/1200</f>
        <v>120312.5</v>
      </c>
      <c r="F22" s="17">
        <f t="shared" si="0"/>
        <v>97222.222222222204</v>
      </c>
      <c r="G22" s="17">
        <f>H21*INPUT!$C$4/1200</f>
        <v>23090.277777777792</v>
      </c>
      <c r="H22" s="17">
        <f t="shared" si="1"/>
        <v>5444444.4444444478</v>
      </c>
    </row>
    <row r="23" spans="4:8" x14ac:dyDescent="0.3">
      <c r="D23" s="16">
        <v>17</v>
      </c>
      <c r="E23" s="17">
        <f>INPUT!$C$3/INPUT!$C$5+(INPUT!$C$3-(INPUT!$C$3/INPUT!$C$5)*(D23-1))*INPUT!$C$4/1200</f>
        <v>119907.4074074074</v>
      </c>
      <c r="F23" s="17">
        <f t="shared" si="0"/>
        <v>97222.222222222204</v>
      </c>
      <c r="G23" s="17">
        <f>H22*INPUT!$C$4/1200</f>
        <v>22685.185185185201</v>
      </c>
      <c r="H23" s="17">
        <f t="shared" si="1"/>
        <v>5347222.2222222257</v>
      </c>
    </row>
    <row r="24" spans="4:8" x14ac:dyDescent="0.3">
      <c r="D24" s="16">
        <v>18</v>
      </c>
      <c r="E24" s="17">
        <f>INPUT!$C$3/INPUT!$C$5+(INPUT!$C$3-(INPUT!$C$3/INPUT!$C$5)*(D24-1))*INPUT!$C$4/1200</f>
        <v>119502.31481481482</v>
      </c>
      <c r="F24" s="17">
        <f t="shared" si="0"/>
        <v>97222.222222222219</v>
      </c>
      <c r="G24" s="17">
        <f>H23*INPUT!$C$4/1200</f>
        <v>22280.092592592606</v>
      </c>
      <c r="H24" s="17">
        <f t="shared" si="1"/>
        <v>5250000.0000000037</v>
      </c>
    </row>
    <row r="25" spans="4:8" x14ac:dyDescent="0.3">
      <c r="D25" s="16">
        <v>19</v>
      </c>
      <c r="E25" s="17">
        <f>INPUT!$C$3/INPUT!$C$5+(INPUT!$C$3-(INPUT!$C$3/INPUT!$C$5)*(D25-1))*INPUT!$C$4/1200</f>
        <v>119097.22222222222</v>
      </c>
      <c r="F25" s="17">
        <f t="shared" si="0"/>
        <v>97222.222222222204</v>
      </c>
      <c r="G25" s="17">
        <f>H24*INPUT!$C$4/1200</f>
        <v>21875.000000000015</v>
      </c>
      <c r="H25" s="17">
        <f t="shared" si="1"/>
        <v>5152777.7777777817</v>
      </c>
    </row>
    <row r="26" spans="4:8" x14ac:dyDescent="0.3">
      <c r="D26" s="16">
        <v>20</v>
      </c>
      <c r="E26" s="17">
        <f>INPUT!$C$3/INPUT!$C$5+(INPUT!$C$3-(INPUT!$C$3/INPUT!$C$5)*(D26-1))*INPUT!$C$4/1200</f>
        <v>118692.12962962962</v>
      </c>
      <c r="F26" s="17">
        <f t="shared" si="0"/>
        <v>97222.22222222219</v>
      </c>
      <c r="G26" s="17">
        <f>H25*INPUT!$C$4/1200</f>
        <v>21469.907407407427</v>
      </c>
      <c r="H26" s="17">
        <f t="shared" si="1"/>
        <v>5055555.5555555597</v>
      </c>
    </row>
    <row r="27" spans="4:8" x14ac:dyDescent="0.3">
      <c r="D27" s="16">
        <v>21</v>
      </c>
      <c r="E27" s="17">
        <f>INPUT!$C$3/INPUT!$C$5+(INPUT!$C$3-(INPUT!$C$3/INPUT!$C$5)*(D27-1))*INPUT!$C$4/1200</f>
        <v>118287.03703703704</v>
      </c>
      <c r="F27" s="17">
        <f t="shared" si="0"/>
        <v>97222.222222222204</v>
      </c>
      <c r="G27" s="17">
        <f>H26*INPUT!$C$4/1200</f>
        <v>21064.814814814832</v>
      </c>
      <c r="H27" s="17">
        <f t="shared" si="1"/>
        <v>4958333.3333333377</v>
      </c>
    </row>
    <row r="28" spans="4:8" x14ac:dyDescent="0.3">
      <c r="D28" s="16">
        <v>22</v>
      </c>
      <c r="E28" s="17">
        <f>INPUT!$C$3/INPUT!$C$5+(INPUT!$C$3-(INPUT!$C$3/INPUT!$C$5)*(D28-1))*INPUT!$C$4/1200</f>
        <v>117881.94444444444</v>
      </c>
      <c r="F28" s="17">
        <f t="shared" si="0"/>
        <v>97222.222222222204</v>
      </c>
      <c r="G28" s="17">
        <f>H27*INPUT!$C$4/1200</f>
        <v>20659.722222222237</v>
      </c>
      <c r="H28" s="17">
        <f t="shared" si="1"/>
        <v>4861111.1111111157</v>
      </c>
    </row>
    <row r="29" spans="4:8" x14ac:dyDescent="0.3">
      <c r="D29" s="16">
        <v>23</v>
      </c>
      <c r="E29" s="17">
        <f>INPUT!$C$3/INPUT!$C$5+(INPUT!$C$3-(INPUT!$C$3/INPUT!$C$5)*(D29-1))*INPUT!$C$4/1200</f>
        <v>117476.85185185185</v>
      </c>
      <c r="F29" s="17">
        <f t="shared" si="0"/>
        <v>97222.222222222204</v>
      </c>
      <c r="G29" s="17">
        <f>H28*INPUT!$C$4/1200</f>
        <v>20254.62962962965</v>
      </c>
      <c r="H29" s="17">
        <f t="shared" si="1"/>
        <v>4763888.8888888936</v>
      </c>
    </row>
    <row r="30" spans="4:8" x14ac:dyDescent="0.3">
      <c r="D30" s="16">
        <v>24</v>
      </c>
      <c r="E30" s="17">
        <f>INPUT!$C$3/INPUT!$C$5+(INPUT!$C$3-(INPUT!$C$3/INPUT!$C$5)*(D30-1))*INPUT!$C$4/1200</f>
        <v>117071.75925925926</v>
      </c>
      <c r="F30" s="17">
        <f t="shared" si="0"/>
        <v>97222.22222222219</v>
      </c>
      <c r="G30" s="17">
        <f>H29*INPUT!$C$4/1200</f>
        <v>19849.537037037058</v>
      </c>
      <c r="H30" s="17">
        <f t="shared" si="1"/>
        <v>4666666.6666666716</v>
      </c>
    </row>
    <row r="31" spans="4:8" x14ac:dyDescent="0.3">
      <c r="D31" s="16">
        <v>25</v>
      </c>
      <c r="E31" s="17">
        <f>INPUT!$C$3/INPUT!$C$5+(INPUT!$C$3-(INPUT!$C$3/INPUT!$C$5)*(D31-1))*INPUT!$C$4/1200</f>
        <v>116666.66666666666</v>
      </c>
      <c r="F31" s="17">
        <f t="shared" si="0"/>
        <v>97222.22222222219</v>
      </c>
      <c r="G31" s="17">
        <f>H30*INPUT!$C$4/1200</f>
        <v>19444.444444444463</v>
      </c>
      <c r="H31" s="17">
        <f t="shared" si="1"/>
        <v>4569444.4444444496</v>
      </c>
    </row>
    <row r="32" spans="4:8" x14ac:dyDescent="0.3">
      <c r="D32" s="16">
        <v>26</v>
      </c>
      <c r="E32" s="17">
        <f>INPUT!$C$3/INPUT!$C$5+(INPUT!$C$3-(INPUT!$C$3/INPUT!$C$5)*(D32-1))*INPUT!$C$4/1200</f>
        <v>116261.57407407407</v>
      </c>
      <c r="F32" s="17">
        <f t="shared" si="0"/>
        <v>97222.222222222204</v>
      </c>
      <c r="G32" s="17">
        <f>H31*INPUT!$C$4/1200</f>
        <v>19039.351851851872</v>
      </c>
      <c r="H32" s="17">
        <f t="shared" si="1"/>
        <v>4472222.2222222276</v>
      </c>
    </row>
    <row r="33" spans="4:8" x14ac:dyDescent="0.3">
      <c r="D33" s="16">
        <v>27</v>
      </c>
      <c r="E33" s="17">
        <f>INPUT!$C$3/INPUT!$C$5+(INPUT!$C$3-(INPUT!$C$3/INPUT!$C$5)*(D33-1))*INPUT!$C$4/1200</f>
        <v>115856.48148148147</v>
      </c>
      <c r="F33" s="17">
        <f t="shared" si="0"/>
        <v>97222.22222222219</v>
      </c>
      <c r="G33" s="17">
        <f>H32*INPUT!$C$4/1200</f>
        <v>18634.259259259281</v>
      </c>
      <c r="H33" s="17">
        <f t="shared" si="1"/>
        <v>4375000.0000000056</v>
      </c>
    </row>
    <row r="34" spans="4:8" x14ac:dyDescent="0.3">
      <c r="D34" s="16">
        <v>28</v>
      </c>
      <c r="E34" s="17">
        <f>INPUT!$C$3/INPUT!$C$5+(INPUT!$C$3-(INPUT!$C$3/INPUT!$C$5)*(D34-1))*INPUT!$C$4/1200</f>
        <v>115451.38888888889</v>
      </c>
      <c r="F34" s="17">
        <f t="shared" si="0"/>
        <v>97222.222222222204</v>
      </c>
      <c r="G34" s="17">
        <f>H33*INPUT!$C$4/1200</f>
        <v>18229.16666666669</v>
      </c>
      <c r="H34" s="17">
        <f t="shared" si="1"/>
        <v>4277777.7777777836</v>
      </c>
    </row>
    <row r="35" spans="4:8" x14ac:dyDescent="0.3">
      <c r="D35" s="16">
        <v>29</v>
      </c>
      <c r="E35" s="17">
        <f>INPUT!$C$3/INPUT!$C$5+(INPUT!$C$3-(INPUT!$C$3/INPUT!$C$5)*(D35-1))*INPUT!$C$4/1200</f>
        <v>115046.29629629629</v>
      </c>
      <c r="F35" s="17">
        <f t="shared" si="0"/>
        <v>97222.22222222219</v>
      </c>
      <c r="G35" s="17">
        <f>H34*INPUT!$C$4/1200</f>
        <v>17824.074074074098</v>
      </c>
      <c r="H35" s="17">
        <f t="shared" si="1"/>
        <v>4180555.5555555616</v>
      </c>
    </row>
    <row r="36" spans="4:8" x14ac:dyDescent="0.3">
      <c r="D36" s="16">
        <v>30</v>
      </c>
      <c r="E36" s="17">
        <f>INPUT!$C$3/INPUT!$C$5+(INPUT!$C$3-(INPUT!$C$3/INPUT!$C$5)*(D36-1))*INPUT!$C$4/1200</f>
        <v>114641.20370370371</v>
      </c>
      <c r="F36" s="17">
        <f t="shared" si="0"/>
        <v>97222.222222222204</v>
      </c>
      <c r="G36" s="17">
        <f>H35*INPUT!$C$4/1200</f>
        <v>17418.981481481504</v>
      </c>
      <c r="H36" s="17">
        <f t="shared" si="1"/>
        <v>4083333.3333333395</v>
      </c>
    </row>
    <row r="37" spans="4:8" x14ac:dyDescent="0.3">
      <c r="D37" s="16">
        <v>31</v>
      </c>
      <c r="E37" s="17">
        <f>INPUT!$C$3/INPUT!$C$5+(INPUT!$C$3-(INPUT!$C$3/INPUT!$C$5)*(D37-1))*INPUT!$C$4/1200</f>
        <v>114236.11111111111</v>
      </c>
      <c r="F37" s="17">
        <f t="shared" si="0"/>
        <v>97222.22222222219</v>
      </c>
      <c r="G37" s="17">
        <f>H36*INPUT!$C$4/1200</f>
        <v>17013.888888888916</v>
      </c>
      <c r="H37" s="17">
        <f t="shared" si="1"/>
        <v>3986111.1111111175</v>
      </c>
    </row>
    <row r="38" spans="4:8" x14ac:dyDescent="0.3">
      <c r="D38" s="16">
        <v>32</v>
      </c>
      <c r="E38" s="17">
        <f>INPUT!$C$3/INPUT!$C$5+(INPUT!$C$3-(INPUT!$C$3/INPUT!$C$5)*(D38-1))*INPUT!$C$4/1200</f>
        <v>113831.01851851851</v>
      </c>
      <c r="F38" s="17">
        <f t="shared" si="0"/>
        <v>97222.22222222219</v>
      </c>
      <c r="G38" s="17">
        <f>H37*INPUT!$C$4/1200</f>
        <v>16608.796296296325</v>
      </c>
      <c r="H38" s="17">
        <f t="shared" si="1"/>
        <v>3888888.8888888955</v>
      </c>
    </row>
    <row r="39" spans="4:8" x14ac:dyDescent="0.3">
      <c r="D39" s="16">
        <v>33</v>
      </c>
      <c r="E39" s="17">
        <f>INPUT!$C$3/INPUT!$C$5+(INPUT!$C$3-(INPUT!$C$3/INPUT!$C$5)*(D39-1))*INPUT!$C$4/1200</f>
        <v>113425.92592592593</v>
      </c>
      <c r="F39" s="17">
        <f t="shared" si="0"/>
        <v>97222.22222222219</v>
      </c>
      <c r="G39" s="17">
        <f>H38*INPUT!$C$4/1200</f>
        <v>16203.703703703732</v>
      </c>
      <c r="H39" s="17">
        <f t="shared" si="1"/>
        <v>3791666.6666666735</v>
      </c>
    </row>
    <row r="40" spans="4:8" x14ac:dyDescent="0.3">
      <c r="D40" s="16">
        <v>34</v>
      </c>
      <c r="E40" s="17">
        <f>INPUT!$C$3/INPUT!$C$5+(INPUT!$C$3-(INPUT!$C$3/INPUT!$C$5)*(D40-1))*INPUT!$C$4/1200</f>
        <v>113020.83333333333</v>
      </c>
      <c r="F40" s="17">
        <f t="shared" si="0"/>
        <v>97222.22222222219</v>
      </c>
      <c r="G40" s="17">
        <f>H39*INPUT!$C$4/1200</f>
        <v>15798.611111111139</v>
      </c>
      <c r="H40" s="17">
        <f t="shared" si="1"/>
        <v>3694444.4444444515</v>
      </c>
    </row>
    <row r="41" spans="4:8" x14ac:dyDescent="0.3">
      <c r="D41" s="16">
        <v>35</v>
      </c>
      <c r="E41" s="17">
        <f>INPUT!$C$3/INPUT!$C$5+(INPUT!$C$3-(INPUT!$C$3/INPUT!$C$5)*(D41-1))*INPUT!$C$4/1200</f>
        <v>112615.74074074074</v>
      </c>
      <c r="F41" s="17">
        <f t="shared" si="0"/>
        <v>97222.22222222219</v>
      </c>
      <c r="G41" s="17">
        <f>H40*INPUT!$C$4/1200</f>
        <v>15393.518518518547</v>
      </c>
      <c r="H41" s="17">
        <f t="shared" si="1"/>
        <v>3597222.2222222295</v>
      </c>
    </row>
    <row r="42" spans="4:8" x14ac:dyDescent="0.3">
      <c r="D42" s="16">
        <v>36</v>
      </c>
      <c r="E42" s="17">
        <f>INPUT!$C$3/INPUT!$C$5+(INPUT!$C$3-(INPUT!$C$3/INPUT!$C$5)*(D42-1))*INPUT!$C$4/1200</f>
        <v>112210.64814814815</v>
      </c>
      <c r="F42" s="17">
        <f t="shared" si="0"/>
        <v>97222.22222222219</v>
      </c>
      <c r="G42" s="17">
        <f>H41*INPUT!$C$4/1200</f>
        <v>14988.425925925958</v>
      </c>
      <c r="H42" s="17">
        <f t="shared" si="1"/>
        <v>3500000.0000000075</v>
      </c>
    </row>
    <row r="43" spans="4:8" x14ac:dyDescent="0.3">
      <c r="D43" s="16">
        <v>37</v>
      </c>
      <c r="E43" s="17">
        <f>INPUT!$C$3/INPUT!$C$5+(INPUT!$C$3-(INPUT!$C$3/INPUT!$C$5)*(D43-1))*INPUT!$C$4/1200</f>
        <v>111805.55555555555</v>
      </c>
      <c r="F43" s="17">
        <f t="shared" si="0"/>
        <v>97222.22222222219</v>
      </c>
      <c r="G43" s="17">
        <f>H42*INPUT!$C$4/1200</f>
        <v>14583.333333333365</v>
      </c>
      <c r="H43" s="17">
        <f t="shared" si="1"/>
        <v>3402777.7777777854</v>
      </c>
    </row>
    <row r="44" spans="4:8" x14ac:dyDescent="0.3">
      <c r="D44" s="16">
        <v>38</v>
      </c>
      <c r="E44" s="17">
        <f>INPUT!$C$3/INPUT!$C$5+(INPUT!$C$3-(INPUT!$C$3/INPUT!$C$5)*(D44-1))*INPUT!$C$4/1200</f>
        <v>111400.46296296296</v>
      </c>
      <c r="F44" s="17">
        <f t="shared" si="0"/>
        <v>97222.22222222219</v>
      </c>
      <c r="G44" s="17">
        <f>H43*INPUT!$C$4/1200</f>
        <v>14178.240740740772</v>
      </c>
      <c r="H44" s="17">
        <f t="shared" si="1"/>
        <v>3305555.5555555634</v>
      </c>
    </row>
    <row r="45" spans="4:8" x14ac:dyDescent="0.3">
      <c r="D45" s="16">
        <v>39</v>
      </c>
      <c r="E45" s="17">
        <f>INPUT!$C$3/INPUT!$C$5+(INPUT!$C$3-(INPUT!$C$3/INPUT!$C$5)*(D45-1))*INPUT!$C$4/1200</f>
        <v>110995.37037037036</v>
      </c>
      <c r="F45" s="17">
        <f t="shared" si="0"/>
        <v>97222.22222222219</v>
      </c>
      <c r="G45" s="17">
        <f>H44*INPUT!$C$4/1200</f>
        <v>13773.148148148181</v>
      </c>
      <c r="H45" s="17">
        <f t="shared" si="1"/>
        <v>3208333.3333333414</v>
      </c>
    </row>
    <row r="46" spans="4:8" x14ac:dyDescent="0.3">
      <c r="D46" s="16">
        <v>40</v>
      </c>
      <c r="E46" s="17">
        <f>INPUT!$C$3/INPUT!$C$5+(INPUT!$C$3-(INPUT!$C$3/INPUT!$C$5)*(D46-1))*INPUT!$C$4/1200</f>
        <v>110590.27777777778</v>
      </c>
      <c r="F46" s="17">
        <f t="shared" si="0"/>
        <v>97222.22222222219</v>
      </c>
      <c r="G46" s="17">
        <f>H45*INPUT!$C$4/1200</f>
        <v>13368.055555555589</v>
      </c>
      <c r="H46" s="17">
        <f t="shared" si="1"/>
        <v>3111111.1111111194</v>
      </c>
    </row>
    <row r="47" spans="4:8" x14ac:dyDescent="0.3">
      <c r="D47" s="16">
        <v>41</v>
      </c>
      <c r="E47" s="17">
        <f>INPUT!$C$3/INPUT!$C$5+(INPUT!$C$3-(INPUT!$C$3/INPUT!$C$5)*(D47-1))*INPUT!$C$4/1200</f>
        <v>110185.18518518518</v>
      </c>
      <c r="F47" s="17">
        <f t="shared" si="0"/>
        <v>97222.22222222219</v>
      </c>
      <c r="G47" s="17">
        <f>H46*INPUT!$C$4/1200</f>
        <v>12962.962962962998</v>
      </c>
      <c r="H47" s="17">
        <f t="shared" si="1"/>
        <v>3013888.8888888974</v>
      </c>
    </row>
    <row r="48" spans="4:8" x14ac:dyDescent="0.3">
      <c r="D48" s="16">
        <v>42</v>
      </c>
      <c r="E48" s="17">
        <f>INPUT!$C$3/INPUT!$C$5+(INPUT!$C$3-(INPUT!$C$3/INPUT!$C$5)*(D48-1))*INPUT!$C$4/1200</f>
        <v>109780.09259259258</v>
      </c>
      <c r="F48" s="17">
        <f t="shared" si="0"/>
        <v>97222.222222222175</v>
      </c>
      <c r="G48" s="17">
        <f>H47*INPUT!$C$4/1200</f>
        <v>12557.870370370405</v>
      </c>
      <c r="H48" s="17">
        <f t="shared" si="1"/>
        <v>2916666.6666666754</v>
      </c>
    </row>
    <row r="49" spans="4:8" x14ac:dyDescent="0.3">
      <c r="D49" s="16">
        <v>43</v>
      </c>
      <c r="E49" s="17">
        <f>INPUT!$C$3/INPUT!$C$5+(INPUT!$C$3-(INPUT!$C$3/INPUT!$C$5)*(D49-1))*INPUT!$C$4/1200</f>
        <v>109375</v>
      </c>
      <c r="F49" s="17">
        <f t="shared" si="0"/>
        <v>97222.22222222219</v>
      </c>
      <c r="G49" s="17">
        <f>H48*INPUT!$C$4/1200</f>
        <v>12152.777777777814</v>
      </c>
      <c r="H49" s="17">
        <f t="shared" si="1"/>
        <v>2819444.4444444533</v>
      </c>
    </row>
    <row r="50" spans="4:8" x14ac:dyDescent="0.3">
      <c r="D50" s="16">
        <v>44</v>
      </c>
      <c r="E50" s="17">
        <f>INPUT!$C$3/INPUT!$C$5+(INPUT!$C$3-(INPUT!$C$3/INPUT!$C$5)*(D50-1))*INPUT!$C$4/1200</f>
        <v>108969.9074074074</v>
      </c>
      <c r="F50" s="17">
        <f t="shared" si="0"/>
        <v>97222.222222222175</v>
      </c>
      <c r="G50" s="17">
        <f>H49*INPUT!$C$4/1200</f>
        <v>11747.685185185223</v>
      </c>
      <c r="H50" s="17">
        <f t="shared" si="1"/>
        <v>2722222.2222222313</v>
      </c>
    </row>
    <row r="51" spans="4:8" x14ac:dyDescent="0.3">
      <c r="D51" s="16">
        <v>45</v>
      </c>
      <c r="E51" s="17">
        <f>INPUT!$C$3/INPUT!$C$5+(INPUT!$C$3-(INPUT!$C$3/INPUT!$C$5)*(D51-1))*INPUT!$C$4/1200</f>
        <v>108564.8148148148</v>
      </c>
      <c r="F51" s="17">
        <f t="shared" si="0"/>
        <v>97222.222222222175</v>
      </c>
      <c r="G51" s="17">
        <f>H50*INPUT!$C$4/1200</f>
        <v>11342.592592592631</v>
      </c>
      <c r="H51" s="17">
        <f t="shared" si="1"/>
        <v>2625000.0000000093</v>
      </c>
    </row>
    <row r="52" spans="4:8" x14ac:dyDescent="0.3">
      <c r="D52" s="16">
        <v>46</v>
      </c>
      <c r="E52" s="17">
        <f>INPUT!$C$3/INPUT!$C$5+(INPUT!$C$3-(INPUT!$C$3/INPUT!$C$5)*(D52-1))*INPUT!$C$4/1200</f>
        <v>108159.72222222222</v>
      </c>
      <c r="F52" s="17">
        <f t="shared" si="0"/>
        <v>97222.222222222175</v>
      </c>
      <c r="G52" s="17">
        <f>H51*INPUT!$C$4/1200</f>
        <v>10937.500000000038</v>
      </c>
      <c r="H52" s="17">
        <f t="shared" si="1"/>
        <v>2527777.7777777873</v>
      </c>
    </row>
    <row r="53" spans="4:8" x14ac:dyDescent="0.3">
      <c r="D53" s="16">
        <v>47</v>
      </c>
      <c r="E53" s="17">
        <f>INPUT!$C$3/INPUT!$C$5+(INPUT!$C$3-(INPUT!$C$3/INPUT!$C$5)*(D53-1))*INPUT!$C$4/1200</f>
        <v>107754.62962962964</v>
      </c>
      <c r="F53" s="17">
        <f t="shared" si="0"/>
        <v>97222.22222222219</v>
      </c>
      <c r="G53" s="17">
        <f>H52*INPUT!$C$4/1200</f>
        <v>10532.407407407447</v>
      </c>
      <c r="H53" s="17">
        <f t="shared" si="1"/>
        <v>2430555.5555555653</v>
      </c>
    </row>
    <row r="54" spans="4:8" x14ac:dyDescent="0.3">
      <c r="D54" s="16">
        <v>48</v>
      </c>
      <c r="E54" s="17">
        <f>INPUT!$C$3/INPUT!$C$5+(INPUT!$C$3-(INPUT!$C$3/INPUT!$C$5)*(D54-1))*INPUT!$C$4/1200</f>
        <v>107349.53703703704</v>
      </c>
      <c r="F54" s="17">
        <f t="shared" si="0"/>
        <v>97222.222222222175</v>
      </c>
      <c r="G54" s="17">
        <f>H53*INPUT!$C$4/1200</f>
        <v>10127.314814814856</v>
      </c>
      <c r="H54" s="17">
        <f t="shared" si="1"/>
        <v>2333333.3333333433</v>
      </c>
    </row>
    <row r="55" spans="4:8" x14ac:dyDescent="0.3">
      <c r="D55" s="16">
        <v>49</v>
      </c>
      <c r="E55" s="17">
        <f>INPUT!$C$3/INPUT!$C$5+(INPUT!$C$3-(INPUT!$C$3/INPUT!$C$5)*(D55-1))*INPUT!$C$4/1200</f>
        <v>106944.44444444444</v>
      </c>
      <c r="F55" s="17">
        <f t="shared" si="0"/>
        <v>97222.222222222175</v>
      </c>
      <c r="G55" s="17">
        <f>H54*INPUT!$C$4/1200</f>
        <v>9722.2222222222645</v>
      </c>
      <c r="H55" s="17">
        <f t="shared" si="1"/>
        <v>2236111.1111111213</v>
      </c>
    </row>
    <row r="56" spans="4:8" x14ac:dyDescent="0.3">
      <c r="D56" s="16">
        <v>50</v>
      </c>
      <c r="E56" s="17">
        <f>INPUT!$C$3/INPUT!$C$5+(INPUT!$C$3-(INPUT!$C$3/INPUT!$C$5)*(D56-1))*INPUT!$C$4/1200</f>
        <v>106539.35185185185</v>
      </c>
      <c r="F56" s="17">
        <f t="shared" si="0"/>
        <v>97222.22222222219</v>
      </c>
      <c r="G56" s="17">
        <f>H55*INPUT!$C$4/1200</f>
        <v>9317.1296296296714</v>
      </c>
      <c r="H56" s="17">
        <f t="shared" si="1"/>
        <v>2138888.8888888992</v>
      </c>
    </row>
    <row r="57" spans="4:8" x14ac:dyDescent="0.3">
      <c r="D57" s="16">
        <v>51</v>
      </c>
      <c r="E57" s="17">
        <f>INPUT!$C$3/INPUT!$C$5+(INPUT!$C$3-(INPUT!$C$3/INPUT!$C$5)*(D57-1))*INPUT!$C$4/1200</f>
        <v>106134.25925925926</v>
      </c>
      <c r="F57" s="17">
        <f t="shared" si="0"/>
        <v>97222.222222222175</v>
      </c>
      <c r="G57" s="17">
        <f>H56*INPUT!$C$4/1200</f>
        <v>8912.0370370370802</v>
      </c>
      <c r="H57" s="17">
        <f t="shared" si="1"/>
        <v>2041666.666666677</v>
      </c>
    </row>
    <row r="58" spans="4:8" x14ac:dyDescent="0.3">
      <c r="D58" s="16">
        <v>52</v>
      </c>
      <c r="E58" s="17">
        <f>INPUT!$C$3/INPUT!$C$5+(INPUT!$C$3-(INPUT!$C$3/INPUT!$C$5)*(D58-1))*INPUT!$C$4/1200</f>
        <v>105729.16666666667</v>
      </c>
      <c r="F58" s="17">
        <f t="shared" si="0"/>
        <v>97222.22222222219</v>
      </c>
      <c r="G58" s="17">
        <f>H57*INPUT!$C$4/1200</f>
        <v>8506.9444444444871</v>
      </c>
      <c r="H58" s="17">
        <f t="shared" si="1"/>
        <v>1944444.4444444547</v>
      </c>
    </row>
    <row r="59" spans="4:8" x14ac:dyDescent="0.3">
      <c r="D59" s="16">
        <v>53</v>
      </c>
      <c r="E59" s="17">
        <f>INPUT!$C$3/INPUT!$C$5+(INPUT!$C$3-(INPUT!$C$3/INPUT!$C$5)*(D59-1))*INPUT!$C$4/1200</f>
        <v>105324.07407407407</v>
      </c>
      <c r="F59" s="17">
        <f t="shared" si="0"/>
        <v>97222.222222222175</v>
      </c>
      <c r="G59" s="17">
        <f>H58*INPUT!$C$4/1200</f>
        <v>8101.8518518518949</v>
      </c>
      <c r="H59" s="17">
        <f t="shared" si="1"/>
        <v>1847222.2222222325</v>
      </c>
    </row>
    <row r="60" spans="4:8" x14ac:dyDescent="0.3">
      <c r="D60" s="16">
        <v>54</v>
      </c>
      <c r="E60" s="17">
        <f>INPUT!$C$3/INPUT!$C$5+(INPUT!$C$3-(INPUT!$C$3/INPUT!$C$5)*(D60-1))*INPUT!$C$4/1200</f>
        <v>104918.98148148147</v>
      </c>
      <c r="F60" s="17">
        <f t="shared" si="0"/>
        <v>97222.222222222175</v>
      </c>
      <c r="G60" s="17">
        <f>H59*INPUT!$C$4/1200</f>
        <v>7696.7592592593019</v>
      </c>
      <c r="H60" s="17">
        <f t="shared" si="1"/>
        <v>1750000.0000000102</v>
      </c>
    </row>
    <row r="61" spans="4:8" x14ac:dyDescent="0.3">
      <c r="D61" s="16">
        <v>55</v>
      </c>
      <c r="E61" s="17">
        <f>INPUT!$C$3/INPUT!$C$5+(INPUT!$C$3-(INPUT!$C$3/INPUT!$C$5)*(D61-1))*INPUT!$C$4/1200</f>
        <v>104513.88888888889</v>
      </c>
      <c r="F61" s="17">
        <f t="shared" si="0"/>
        <v>97222.222222222175</v>
      </c>
      <c r="G61" s="17">
        <f>H60*INPUT!$C$4/1200</f>
        <v>7291.6666666667097</v>
      </c>
      <c r="H61" s="17">
        <f t="shared" si="1"/>
        <v>1652777.777777788</v>
      </c>
    </row>
    <row r="62" spans="4:8" x14ac:dyDescent="0.3">
      <c r="D62" s="16">
        <v>56</v>
      </c>
      <c r="E62" s="17">
        <f>INPUT!$C$3/INPUT!$C$5+(INPUT!$C$3-(INPUT!$C$3/INPUT!$C$5)*(D62-1))*INPUT!$C$4/1200</f>
        <v>104108.79629629629</v>
      </c>
      <c r="F62" s="17">
        <f t="shared" si="0"/>
        <v>97222.222222222175</v>
      </c>
      <c r="G62" s="17">
        <f>H61*INPUT!$C$4/1200</f>
        <v>6886.5740740741167</v>
      </c>
      <c r="H62" s="17">
        <f t="shared" si="1"/>
        <v>1555555.5555555657</v>
      </c>
    </row>
    <row r="63" spans="4:8" x14ac:dyDescent="0.3">
      <c r="D63" s="16">
        <v>57</v>
      </c>
      <c r="E63" s="17">
        <f>INPUT!$C$3/INPUT!$C$5+(INPUT!$C$3-(INPUT!$C$3/INPUT!$C$5)*(D63-1))*INPUT!$C$4/1200</f>
        <v>103703.70370370371</v>
      </c>
      <c r="F63" s="17">
        <f t="shared" si="0"/>
        <v>97222.22222222219</v>
      </c>
      <c r="G63" s="17">
        <f>H62*INPUT!$C$4/1200</f>
        <v>6481.4814814815236</v>
      </c>
      <c r="H63" s="17">
        <f t="shared" si="1"/>
        <v>1458333.3333333435</v>
      </c>
    </row>
    <row r="64" spans="4:8" x14ac:dyDescent="0.3">
      <c r="D64" s="16">
        <v>58</v>
      </c>
      <c r="E64" s="17">
        <f>INPUT!$C$3/INPUT!$C$5+(INPUT!$C$3-(INPUT!$C$3/INPUT!$C$5)*(D64-1))*INPUT!$C$4/1200</f>
        <v>103298.61111111111</v>
      </c>
      <c r="F64" s="17">
        <f t="shared" si="0"/>
        <v>97222.222222222175</v>
      </c>
      <c r="G64" s="17">
        <f>H63*INPUT!$C$4/1200</f>
        <v>6076.3888888889314</v>
      </c>
      <c r="H64" s="17">
        <f t="shared" si="1"/>
        <v>1361111.1111111213</v>
      </c>
    </row>
    <row r="65" spans="4:8" x14ac:dyDescent="0.3">
      <c r="D65" s="16">
        <v>59</v>
      </c>
      <c r="E65" s="17">
        <f>INPUT!$C$3/INPUT!$C$5+(INPUT!$C$3-(INPUT!$C$3/INPUT!$C$5)*(D65-1))*INPUT!$C$4/1200</f>
        <v>102893.51851851851</v>
      </c>
      <c r="F65" s="17">
        <f t="shared" si="0"/>
        <v>97222.222222222175</v>
      </c>
      <c r="G65" s="17">
        <f>H64*INPUT!$C$4/1200</f>
        <v>5671.2962962963384</v>
      </c>
      <c r="H65" s="17">
        <f t="shared" si="1"/>
        <v>1263888.888888899</v>
      </c>
    </row>
    <row r="66" spans="4:8" x14ac:dyDescent="0.3">
      <c r="D66" s="16">
        <v>60</v>
      </c>
      <c r="E66" s="17">
        <f>INPUT!$C$3/INPUT!$C$5+(INPUT!$C$3-(INPUT!$C$3/INPUT!$C$5)*(D66-1))*INPUT!$C$4/1200</f>
        <v>102488.42592592593</v>
      </c>
      <c r="F66" s="17">
        <f t="shared" si="0"/>
        <v>97222.222222222175</v>
      </c>
      <c r="G66" s="17">
        <f>H65*INPUT!$C$4/1200</f>
        <v>5266.2037037037462</v>
      </c>
      <c r="H66" s="17">
        <f t="shared" si="1"/>
        <v>1166666.6666666768</v>
      </c>
    </row>
    <row r="67" spans="4:8" x14ac:dyDescent="0.3">
      <c r="D67" s="16">
        <v>61</v>
      </c>
      <c r="E67" s="17">
        <f>INPUT!$C$3/INPUT!$C$5+(INPUT!$C$3-(INPUT!$C$3/INPUT!$C$5)*(D67-1))*INPUT!$C$4/1200</f>
        <v>102083.33333333333</v>
      </c>
      <c r="F67" s="17">
        <f t="shared" si="0"/>
        <v>97222.222222222175</v>
      </c>
      <c r="G67" s="17">
        <f>H66*INPUT!$C$4/1200</f>
        <v>4861.1111111111531</v>
      </c>
      <c r="H67" s="17">
        <f t="shared" si="1"/>
        <v>1069444.4444444545</v>
      </c>
    </row>
    <row r="68" spans="4:8" x14ac:dyDescent="0.3">
      <c r="D68" s="16">
        <v>62</v>
      </c>
      <c r="E68" s="17">
        <f>INPUT!$C$3/INPUT!$C$5+(INPUT!$C$3-(INPUT!$C$3/INPUT!$C$5)*(D68-1))*INPUT!$C$4/1200</f>
        <v>101678.24074074074</v>
      </c>
      <c r="F68" s="17">
        <f t="shared" si="0"/>
        <v>97222.22222222219</v>
      </c>
      <c r="G68" s="17">
        <f>H67*INPUT!$C$4/1200</f>
        <v>4456.0185185185601</v>
      </c>
      <c r="H68" s="17">
        <f t="shared" si="1"/>
        <v>972222.22222223226</v>
      </c>
    </row>
    <row r="69" spans="4:8" x14ac:dyDescent="0.3">
      <c r="D69" s="16">
        <v>63</v>
      </c>
      <c r="E69" s="17">
        <f>INPUT!$C$3/INPUT!$C$5+(INPUT!$C$3-(INPUT!$C$3/INPUT!$C$5)*(D69-1))*INPUT!$C$4/1200</f>
        <v>101273.14814814815</v>
      </c>
      <c r="F69" s="17">
        <f t="shared" si="0"/>
        <v>97222.222222222175</v>
      </c>
      <c r="G69" s="17">
        <f>H68*INPUT!$C$4/1200</f>
        <v>4050.9259259259679</v>
      </c>
      <c r="H69" s="17">
        <f t="shared" si="1"/>
        <v>875000.00000001013</v>
      </c>
    </row>
    <row r="70" spans="4:8" x14ac:dyDescent="0.3">
      <c r="D70" s="16">
        <v>64</v>
      </c>
      <c r="E70" s="17">
        <f>INPUT!$C$3/INPUT!$C$5+(INPUT!$C$3-(INPUT!$C$3/INPUT!$C$5)*(D70-1))*INPUT!$C$4/1200</f>
        <v>100868.05555555555</v>
      </c>
      <c r="F70" s="17">
        <f t="shared" si="0"/>
        <v>97222.222222222175</v>
      </c>
      <c r="G70" s="17">
        <f>H69*INPUT!$C$4/1200</f>
        <v>3645.8333333333753</v>
      </c>
      <c r="H70" s="17">
        <f t="shared" si="1"/>
        <v>777777.777777788</v>
      </c>
    </row>
    <row r="71" spans="4:8" x14ac:dyDescent="0.3">
      <c r="D71" s="16">
        <v>65</v>
      </c>
      <c r="E71" s="17">
        <f>INPUT!$C$3/INPUT!$C$5+(INPUT!$C$3-(INPUT!$C$3/INPUT!$C$5)*(D71-1))*INPUT!$C$4/1200</f>
        <v>100462.96296296296</v>
      </c>
      <c r="F71" s="17">
        <f t="shared" si="0"/>
        <v>97222.222222222175</v>
      </c>
      <c r="G71" s="17">
        <f>H70*INPUT!$C$4/1200</f>
        <v>3240.7407407407836</v>
      </c>
      <c r="H71" s="17">
        <f t="shared" si="1"/>
        <v>680555.55555556586</v>
      </c>
    </row>
    <row r="72" spans="4:8" x14ac:dyDescent="0.3">
      <c r="D72" s="16">
        <v>66</v>
      </c>
      <c r="E72" s="17">
        <f>INPUT!$C$3/INPUT!$C$5+(INPUT!$C$3-(INPUT!$C$3/INPUT!$C$5)*(D72-1))*INPUT!$C$4/1200</f>
        <v>100057.87037037036</v>
      </c>
      <c r="F72" s="17">
        <f t="shared" ref="F72:F78" si="2">E72-G72</f>
        <v>97222.222222222175</v>
      </c>
      <c r="G72" s="17">
        <f>H71*INPUT!$C$4/1200</f>
        <v>2835.648148148191</v>
      </c>
      <c r="H72" s="17">
        <f t="shared" si="1"/>
        <v>583333.33333334373</v>
      </c>
    </row>
    <row r="73" spans="4:8" x14ac:dyDescent="0.3">
      <c r="D73" s="16">
        <v>67</v>
      </c>
      <c r="E73" s="17">
        <f>INPUT!$C$3/INPUT!$C$5+(INPUT!$C$3-(INPUT!$C$3/INPUT!$C$5)*(D73-1))*INPUT!$C$4/1200</f>
        <v>99652.777777777781</v>
      </c>
      <c r="F73" s="17">
        <f t="shared" si="2"/>
        <v>97222.222222222175</v>
      </c>
      <c r="G73" s="17">
        <f>H72*INPUT!$C$4/1200</f>
        <v>2430.5555555555989</v>
      </c>
      <c r="H73" s="17">
        <f t="shared" ref="H73:H78" si="3">H72-F73</f>
        <v>486111.11111112154</v>
      </c>
    </row>
    <row r="74" spans="4:8" x14ac:dyDescent="0.3">
      <c r="D74" s="16">
        <v>68</v>
      </c>
      <c r="E74" s="17">
        <f>INPUT!$C$3/INPUT!$C$5+(INPUT!$C$3-(INPUT!$C$3/INPUT!$C$5)*(D74-1))*INPUT!$C$4/1200</f>
        <v>99247.685185185182</v>
      </c>
      <c r="F74" s="17">
        <f t="shared" si="2"/>
        <v>97222.222222222175</v>
      </c>
      <c r="G74" s="17">
        <f>H73*INPUT!$C$4/1200</f>
        <v>2025.4629629630065</v>
      </c>
      <c r="H74" s="17">
        <f t="shared" si="3"/>
        <v>388888.88888889935</v>
      </c>
    </row>
    <row r="75" spans="4:8" x14ac:dyDescent="0.3">
      <c r="D75" s="16">
        <v>69</v>
      </c>
      <c r="E75" s="17">
        <f>INPUT!$C$3/INPUT!$C$5+(INPUT!$C$3-(INPUT!$C$3/INPUT!$C$5)*(D75-1))*INPUT!$C$4/1200</f>
        <v>98842.592592592584</v>
      </c>
      <c r="F75" s="17">
        <f t="shared" si="2"/>
        <v>97222.222222222175</v>
      </c>
      <c r="G75" s="17">
        <f>H74*INPUT!$C$4/1200</f>
        <v>1620.3703703704139</v>
      </c>
      <c r="H75" s="17">
        <f t="shared" si="3"/>
        <v>291666.66666667716</v>
      </c>
    </row>
    <row r="76" spans="4:8" x14ac:dyDescent="0.3">
      <c r="D76" s="16">
        <v>70</v>
      </c>
      <c r="E76" s="17">
        <f>INPUT!$C$3/INPUT!$C$5+(INPUT!$C$3-(INPUT!$C$3/INPUT!$C$5)*(D76-1))*INPUT!$C$4/1200</f>
        <v>98437.5</v>
      </c>
      <c r="F76" s="17">
        <f t="shared" si="2"/>
        <v>97222.222222222175</v>
      </c>
      <c r="G76" s="17">
        <f>H75*INPUT!$C$4/1200</f>
        <v>1215.2777777778215</v>
      </c>
      <c r="H76" s="17">
        <f t="shared" si="3"/>
        <v>194444.44444445497</v>
      </c>
    </row>
    <row r="77" spans="4:8" x14ac:dyDescent="0.3">
      <c r="D77" s="16">
        <v>71</v>
      </c>
      <c r="E77" s="17">
        <f>INPUT!$C$3/INPUT!$C$5+(INPUT!$C$3-(INPUT!$C$3/INPUT!$C$5)*(D77-1))*INPUT!$C$4/1200</f>
        <v>98032.407407407401</v>
      </c>
      <c r="F77" s="17">
        <f t="shared" si="2"/>
        <v>97222.222222222175</v>
      </c>
      <c r="G77" s="17">
        <f>H76*INPUT!$C$4/1200</f>
        <v>810.1851851852291</v>
      </c>
      <c r="H77" s="17">
        <f t="shared" si="3"/>
        <v>97222.222222232798</v>
      </c>
    </row>
    <row r="78" spans="4:8" x14ac:dyDescent="0.3">
      <c r="D78" s="16">
        <v>72</v>
      </c>
      <c r="E78" s="17">
        <f>INPUT!$C$3/INPUT!$C$5+(INPUT!$C$3-(INPUT!$C$3/INPUT!$C$5)*(D78-1))*INPUT!$C$4/1200</f>
        <v>97627.314814814818</v>
      </c>
      <c r="F78" s="17">
        <f t="shared" si="2"/>
        <v>97222.222222222175</v>
      </c>
      <c r="G78" s="17">
        <f>H77*INPUT!$C$4/1200</f>
        <v>405.09259259263666</v>
      </c>
      <c r="H78" s="17">
        <f t="shared" si="3"/>
        <v>1.0622898116707802E-8</v>
      </c>
    </row>
    <row r="79" spans="4:8" x14ac:dyDescent="0.3">
      <c r="D79" s="13" t="s">
        <v>6</v>
      </c>
      <c r="E79" s="17">
        <f>SUM(E7:E78)</f>
        <v>8064583.333333333</v>
      </c>
      <c r="F79" s="17">
        <f t="shared" ref="F79:G79" si="4">SUM(F7:F78)</f>
        <v>6999999.9999999898</v>
      </c>
      <c r="G79" s="17">
        <f t="shared" si="4"/>
        <v>1064583.3333333347</v>
      </c>
      <c r="H79" s="16"/>
    </row>
    <row r="80" spans="4:8" x14ac:dyDescent="0.3">
      <c r="E80" s="3"/>
    </row>
  </sheetData>
  <mergeCells count="1">
    <mergeCell ref="D5:H5"/>
  </mergeCells>
  <pageMargins left="0.7" right="0.7" top="0.75" bottom="0.75" header="0.3" footer="0.3"/>
  <pageSetup paperSize="9" orientation="portrait" r:id="rId1"/>
  <headerFooter>
    <oddHeader>&amp;L&amp;"Calibri"&amp;10&amp;K000000ВНУТРЕННЯЯ ИНФОРМАЦИЯ&amp;1#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02366-0DA2-487E-B557-E55AADC13B45}">
  <dimension ref="D4:O79"/>
  <sheetViews>
    <sheetView topLeftCell="C4" workbookViewId="0">
      <selection activeCell="N8" sqref="N8"/>
    </sheetView>
  </sheetViews>
  <sheetFormatPr defaultRowHeight="14.4" x14ac:dyDescent="0.3"/>
  <cols>
    <col min="4" max="4" width="7.33203125" bestFit="1" customWidth="1"/>
    <col min="5" max="5" width="17.6640625" bestFit="1" customWidth="1"/>
    <col min="6" max="6" width="11.77734375" bestFit="1" customWidth="1"/>
    <col min="7" max="7" width="13.88671875" bestFit="1" customWidth="1"/>
    <col min="8" max="8" width="10.88671875" bestFit="1" customWidth="1"/>
    <col min="10" max="10" width="14.21875" customWidth="1"/>
    <col min="11" max="11" width="17.44140625" bestFit="1" customWidth="1"/>
    <col min="12" max="12" width="12" bestFit="1" customWidth="1"/>
    <col min="13" max="13" width="13.6640625" bestFit="1" customWidth="1"/>
    <col min="14" max="14" width="32.21875" bestFit="1" customWidth="1"/>
    <col min="15" max="15" width="13.77734375" customWidth="1"/>
  </cols>
  <sheetData>
    <row r="4" spans="4:15" ht="15" thickBot="1" x14ac:dyDescent="0.35"/>
    <row r="5" spans="4:15" ht="16.2" thickBot="1" x14ac:dyDescent="0.35">
      <c r="D5" s="64" t="s">
        <v>14</v>
      </c>
      <c r="E5" s="65"/>
      <c r="F5" s="65"/>
      <c r="G5" s="65"/>
      <c r="H5" s="66"/>
      <c r="J5" s="69" t="s">
        <v>19</v>
      </c>
      <c r="K5" s="70"/>
      <c r="L5" s="71"/>
      <c r="N5" s="60" t="s">
        <v>28</v>
      </c>
      <c r="O5" s="61"/>
    </row>
    <row r="6" spans="4:15" ht="16.2" thickBot="1" x14ac:dyDescent="0.35">
      <c r="D6" s="39" t="s">
        <v>5</v>
      </c>
      <c r="E6" s="40" t="s">
        <v>15</v>
      </c>
      <c r="F6" s="40" t="s">
        <v>16</v>
      </c>
      <c r="G6" s="40" t="s">
        <v>17</v>
      </c>
      <c r="H6" s="41" t="s">
        <v>18</v>
      </c>
      <c r="J6" s="67" t="s">
        <v>22</v>
      </c>
      <c r="K6" s="45" t="s">
        <v>20</v>
      </c>
      <c r="L6" s="51">
        <f>E79</f>
        <v>8116886.061371238</v>
      </c>
      <c r="M6" s="42"/>
      <c r="N6" s="47" t="s">
        <v>26</v>
      </c>
      <c r="O6" s="50">
        <v>10</v>
      </c>
    </row>
    <row r="7" spans="4:15" x14ac:dyDescent="0.3">
      <c r="D7" s="18">
        <v>1</v>
      </c>
      <c r="E7" s="19">
        <f>Annuity!E7</f>
        <v>112734.52863015613</v>
      </c>
      <c r="F7" s="19">
        <f>E7/((1+INPUT!$C$6/1200)^D7)</f>
        <v>111802.83831089865</v>
      </c>
      <c r="G7" s="19">
        <f>Differentiated!E7</f>
        <v>126388.88888888889</v>
      </c>
      <c r="H7" s="19">
        <f>G7/((1+INPUT!$C$6/1200)^D7)</f>
        <v>125344.3526170799</v>
      </c>
      <c r="J7" s="68"/>
      <c r="K7" s="44" t="s">
        <v>21</v>
      </c>
      <c r="L7" s="51">
        <f>G79</f>
        <v>8064583.333333333</v>
      </c>
      <c r="M7" s="43"/>
      <c r="N7" s="48" t="s">
        <v>27</v>
      </c>
      <c r="O7" s="51">
        <v>15</v>
      </c>
    </row>
    <row r="8" spans="4:15" x14ac:dyDescent="0.3">
      <c r="D8" s="16">
        <v>2</v>
      </c>
      <c r="E8" s="17">
        <f>Annuity!E8</f>
        <v>112734.52863015613</v>
      </c>
      <c r="F8" s="17">
        <f>E8/((1+INPUT!$C$6/1200)^D8)</f>
        <v>110878.84791163502</v>
      </c>
      <c r="G8" s="17">
        <f>Differentiated!E8</f>
        <v>125983.79629629629</v>
      </c>
      <c r="H8" s="17">
        <f>G8/((1+INPUT!$C$6/1200)^D8)</f>
        <v>123910.02436081324</v>
      </c>
      <c r="J8" s="67" t="s">
        <v>23</v>
      </c>
      <c r="K8" s="45" t="s">
        <v>20</v>
      </c>
      <c r="L8" s="51">
        <f>F79</f>
        <v>6085259.4087593257</v>
      </c>
      <c r="N8" s="48" t="s">
        <v>25</v>
      </c>
      <c r="O8" s="51">
        <v>-66364</v>
      </c>
    </row>
    <row r="9" spans="4:15" ht="15" thickBot="1" x14ac:dyDescent="0.35">
      <c r="D9" s="16">
        <v>3</v>
      </c>
      <c r="E9" s="17">
        <f>Annuity!E9</f>
        <v>112734.52863015613</v>
      </c>
      <c r="F9" s="17">
        <f>E9/((1+INPUT!$C$6/1200)^D9)</f>
        <v>109962.49379666283</v>
      </c>
      <c r="G9" s="17">
        <f>Differentiated!E9</f>
        <v>125578.70370370371</v>
      </c>
      <c r="H9" s="17">
        <f>G9/((1+INPUT!$C$6/1200)^D9)</f>
        <v>122490.84282166972</v>
      </c>
      <c r="J9" s="68"/>
      <c r="K9" s="45" t="s">
        <v>21</v>
      </c>
      <c r="L9" s="51">
        <f>H79</f>
        <v>6123962.9051857842</v>
      </c>
      <c r="N9" s="49" t="s">
        <v>24</v>
      </c>
      <c r="O9" s="52">
        <v>207856</v>
      </c>
    </row>
    <row r="10" spans="4:15" ht="15" thickBot="1" x14ac:dyDescent="0.35">
      <c r="D10" s="16">
        <v>4</v>
      </c>
      <c r="E10" s="17">
        <f>Annuity!E10</f>
        <v>112734.52863015613</v>
      </c>
      <c r="F10" s="17">
        <f>E10/((1+INPUT!$C$6/1200)^D10)</f>
        <v>109053.71285619456</v>
      </c>
      <c r="G10" s="17">
        <f>Differentiated!E10</f>
        <v>125173.61111111111</v>
      </c>
      <c r="H10" s="17">
        <f>G10/((1+INPUT!$C$6/1200)^D10)</f>
        <v>121086.65560723843</v>
      </c>
      <c r="J10" s="72" t="s">
        <v>24</v>
      </c>
      <c r="K10" s="73"/>
      <c r="L10" s="51">
        <f>L6-L7</f>
        <v>52302.728037904948</v>
      </c>
      <c r="N10" s="46"/>
    </row>
    <row r="11" spans="4:15" ht="15" thickBot="1" x14ac:dyDescent="0.35">
      <c r="D11" s="16">
        <v>5</v>
      </c>
      <c r="E11" s="17">
        <f>Annuity!E11</f>
        <v>112734.52863015613</v>
      </c>
      <c r="F11" s="17">
        <f>E11/((1+INPUT!$C$6/1200)^D11)</f>
        <v>108152.44250201114</v>
      </c>
      <c r="G11" s="17">
        <f>Differentiated!E11</f>
        <v>124768.51851851851</v>
      </c>
      <c r="H11" s="17">
        <f>G11/((1+INPUT!$C$6/1200)^D11)</f>
        <v>119697.31180945017</v>
      </c>
      <c r="J11" s="62" t="s">
        <v>25</v>
      </c>
      <c r="K11" s="63"/>
      <c r="L11" s="52">
        <f>L8-L9</f>
        <v>-38703.496426458471</v>
      </c>
      <c r="N11" s="47" t="s">
        <v>26</v>
      </c>
      <c r="O11" s="50">
        <v>3</v>
      </c>
    </row>
    <row r="12" spans="4:15" x14ac:dyDescent="0.3">
      <c r="D12" s="16">
        <v>6</v>
      </c>
      <c r="E12" s="17">
        <f>Annuity!E12</f>
        <v>112734.52863015613</v>
      </c>
      <c r="F12" s="17">
        <f>E12/((1+INPUT!$C$6/1200)^D12)</f>
        <v>107258.62066315154</v>
      </c>
      <c r="G12" s="17">
        <f>Differentiated!E12</f>
        <v>124363.42592592593</v>
      </c>
      <c r="H12" s="17">
        <f>G12/((1+INPUT!$C$6/1200)^D12)</f>
        <v>118322.66199045144</v>
      </c>
      <c r="N12" s="48" t="s">
        <v>27</v>
      </c>
      <c r="O12" s="51">
        <v>8</v>
      </c>
    </row>
    <row r="13" spans="4:15" x14ac:dyDescent="0.3">
      <c r="D13" s="16">
        <v>7</v>
      </c>
      <c r="E13" s="17">
        <f>Annuity!E13</f>
        <v>112734.52863015613</v>
      </c>
      <c r="F13" s="17">
        <f>E13/((1+INPUT!$C$6/1200)^D13)</f>
        <v>106372.18578163791</v>
      </c>
      <c r="G13" s="17">
        <f>Differentiated!E13</f>
        <v>123958.33333333333</v>
      </c>
      <c r="H13" s="17">
        <f>G13/((1+INPUT!$C$6/1200)^D13)</f>
        <v>116962.55816861059</v>
      </c>
      <c r="N13" s="48" t="s">
        <v>25</v>
      </c>
      <c r="O13" s="51">
        <v>-24691</v>
      </c>
    </row>
    <row r="14" spans="4:15" ht="15" thickBot="1" x14ac:dyDescent="0.35">
      <c r="D14" s="16">
        <v>8</v>
      </c>
      <c r="E14" s="17">
        <f>Annuity!E14</f>
        <v>112734.52863015613</v>
      </c>
      <c r="F14" s="17">
        <f>E14/((1+INPUT!$C$6/1200)^D14)</f>
        <v>105493.07680823593</v>
      </c>
      <c r="G14" s="17">
        <f>Differentiated!E14</f>
        <v>123553.24074074073</v>
      </c>
      <c r="H14" s="17">
        <f>G14/((1+INPUT!$C$6/1200)^D14)</f>
        <v>115616.85380465475</v>
      </c>
      <c r="N14" s="49" t="s">
        <v>24</v>
      </c>
      <c r="O14" s="52">
        <v>18863</v>
      </c>
    </row>
    <row r="15" spans="4:15" ht="15" thickBot="1" x14ac:dyDescent="0.35">
      <c r="D15" s="16">
        <v>9</v>
      </c>
      <c r="E15" s="17">
        <f>Annuity!E15</f>
        <v>112734.52863015613</v>
      </c>
      <c r="F15" s="17">
        <f>E15/((1+INPUT!$C$6/1200)^D15)</f>
        <v>104621.23319825051</v>
      </c>
      <c r="G15" s="17">
        <f>Differentiated!E15</f>
        <v>123148.14814814815</v>
      </c>
      <c r="H15" s="17">
        <f>G15/((1+INPUT!$C$6/1200)^D15)</f>
        <v>114285.40378793675</v>
      </c>
      <c r="N15" s="46"/>
    </row>
    <row r="16" spans="4:15" x14ac:dyDescent="0.3">
      <c r="D16" s="16">
        <v>10</v>
      </c>
      <c r="E16" s="17">
        <f>Annuity!E16</f>
        <v>112734.52863015613</v>
      </c>
      <c r="F16" s="17">
        <f>E16/((1+INPUT!$C$6/1200)^D16)</f>
        <v>103756.59490735589</v>
      </c>
      <c r="G16" s="17">
        <f>Differentiated!E16</f>
        <v>122743.05555555555</v>
      </c>
      <c r="H16" s="17">
        <f>G16/((1+INPUT!$C$6/1200)^D16)</f>
        <v>112968.06442283004</v>
      </c>
      <c r="N16" s="47" t="s">
        <v>26</v>
      </c>
      <c r="O16" s="50">
        <v>5</v>
      </c>
    </row>
    <row r="17" spans="4:15" x14ac:dyDescent="0.3">
      <c r="D17" s="16">
        <v>11</v>
      </c>
      <c r="E17" s="17">
        <f>Annuity!E17</f>
        <v>112734.52863015613</v>
      </c>
      <c r="F17" s="17">
        <f>E17/((1+INPUT!$C$6/1200)^D17)</f>
        <v>102899.10238746039</v>
      </c>
      <c r="G17" s="17">
        <f>Differentiated!E17</f>
        <v>122337.96296296296</v>
      </c>
      <c r="H17" s="17">
        <f>G17/((1+INPUT!$C$6/1200)^D17)</f>
        <v>111664.69341525139</v>
      </c>
      <c r="N17" s="48" t="s">
        <v>27</v>
      </c>
      <c r="O17" s="51">
        <v>5</v>
      </c>
    </row>
    <row r="18" spans="4:15" x14ac:dyDescent="0.3">
      <c r="D18" s="16">
        <v>12</v>
      </c>
      <c r="E18" s="17">
        <f>Annuity!E18</f>
        <v>112734.52863015613</v>
      </c>
      <c r="F18" s="17">
        <f>E18/((1+INPUT!$C$6/1200)^D18)</f>
        <v>102048.69658260533</v>
      </c>
      <c r="G18" s="17">
        <f>Differentiated!E18</f>
        <v>121932.87037037036</v>
      </c>
      <c r="H18" s="17">
        <f>G18/((1+INPUT!$C$6/1200)^D18)</f>
        <v>110375.14985930927</v>
      </c>
      <c r="N18" s="48" t="s">
        <v>25</v>
      </c>
      <c r="O18" s="51">
        <v>0</v>
      </c>
    </row>
    <row r="19" spans="4:15" ht="15" thickBot="1" x14ac:dyDescent="0.35">
      <c r="D19" s="16">
        <v>13</v>
      </c>
      <c r="E19" s="17">
        <f>Annuity!E19</f>
        <v>112734.52863015613</v>
      </c>
      <c r="F19" s="17">
        <f>E19/((1+INPUT!$C$6/1200)^D19)</f>
        <v>101205.31892489787</v>
      </c>
      <c r="G19" s="17">
        <f>Differentiated!E19</f>
        <v>121527.77777777778</v>
      </c>
      <c r="H19" s="17">
        <f>G19/((1+INPUT!$C$6/1200)^D19)</f>
        <v>109099.29422407773</v>
      </c>
      <c r="N19" s="49" t="s">
        <v>24</v>
      </c>
      <c r="O19" s="52">
        <v>52303</v>
      </c>
    </row>
    <row r="20" spans="4:15" ht="15" thickBot="1" x14ac:dyDescent="0.35">
      <c r="D20" s="16">
        <v>14</v>
      </c>
      <c r="E20" s="17">
        <f>Annuity!E20</f>
        <v>112734.52863015613</v>
      </c>
      <c r="F20" s="17">
        <f>E20/((1+INPUT!$C$6/1200)^D20)</f>
        <v>100368.91133047723</v>
      </c>
      <c r="G20" s="17">
        <f>Differentiated!E20</f>
        <v>121122.68518518518</v>
      </c>
      <c r="H20" s="17">
        <f>G20/((1+INPUT!$C$6/1200)^D20)</f>
        <v>107836.98834049335</v>
      </c>
      <c r="N20" s="46"/>
    </row>
    <row r="21" spans="4:15" x14ac:dyDescent="0.3">
      <c r="D21" s="16">
        <v>15</v>
      </c>
      <c r="E21" s="17">
        <f>Annuity!E21</f>
        <v>112734.52863015613</v>
      </c>
      <c r="F21" s="17">
        <f>E21/((1+INPUT!$C$6/1200)^D21)</f>
        <v>99539.416195514612</v>
      </c>
      <c r="G21" s="17">
        <f>Differentiated!E21</f>
        <v>120717.59259259258</v>
      </c>
      <c r="H21" s="17">
        <f>G21/((1+INPUT!$C$6/1200)^D21)</f>
        <v>106588.09538837563</v>
      </c>
      <c r="N21" s="47" t="s">
        <v>26</v>
      </c>
      <c r="O21" s="50">
        <v>8</v>
      </c>
    </row>
    <row r="22" spans="4:15" x14ac:dyDescent="0.3">
      <c r="D22" s="16">
        <v>16</v>
      </c>
      <c r="E22" s="17">
        <f>Annuity!E22</f>
        <v>112734.52863015613</v>
      </c>
      <c r="F22" s="17">
        <f>E22/((1+INPUT!$C$6/1200)^D22)</f>
        <v>98716.776392245898</v>
      </c>
      <c r="G22" s="17">
        <f>Differentiated!E22</f>
        <v>120312.5</v>
      </c>
      <c r="H22" s="17">
        <f>G22/((1+INPUT!$C$6/1200)^D22)</f>
        <v>105352.47988356836</v>
      </c>
      <c r="N22" s="48" t="s">
        <v>27</v>
      </c>
      <c r="O22" s="51">
        <v>3</v>
      </c>
    </row>
    <row r="23" spans="4:15" x14ac:dyDescent="0.3">
      <c r="D23" s="16">
        <v>17</v>
      </c>
      <c r="E23" s="17">
        <f>Annuity!E23</f>
        <v>112734.52863015613</v>
      </c>
      <c r="F23" s="17">
        <f>E23/((1+INPUT!$C$6/1200)^D23)</f>
        <v>97900.93526503726</v>
      </c>
      <c r="G23" s="17">
        <f>Differentiated!E23</f>
        <v>119907.4074074074</v>
      </c>
      <c r="H23" s="17">
        <f>G23/((1+INPUT!$C$6/1200)^D23)</f>
        <v>104130.00766520156</v>
      </c>
      <c r="N23" s="48" t="s">
        <v>25</v>
      </c>
      <c r="O23" s="51">
        <v>75982</v>
      </c>
    </row>
    <row r="24" spans="4:15" ht="15" thickBot="1" x14ac:dyDescent="0.35">
      <c r="D24" s="16">
        <v>18</v>
      </c>
      <c r="E24" s="17">
        <f>Annuity!E24</f>
        <v>112734.52863015613</v>
      </c>
      <c r="F24" s="17">
        <f>E24/((1+INPUT!$C$6/1200)^D24)</f>
        <v>97091.836626483229</v>
      </c>
      <c r="G24" s="17">
        <f>Differentiated!E24</f>
        <v>119502.31481481482</v>
      </c>
      <c r="H24" s="17">
        <f>G24/((1+INPUT!$C$6/1200)^D24)</f>
        <v>102920.54588307279</v>
      </c>
      <c r="N24" s="49" t="s">
        <v>24</v>
      </c>
      <c r="O24" s="52">
        <v>133420</v>
      </c>
    </row>
    <row r="25" spans="4:15" ht="15" thickBot="1" x14ac:dyDescent="0.35">
      <c r="D25" s="16">
        <v>19</v>
      </c>
      <c r="E25" s="17">
        <f>Annuity!E25</f>
        <v>112734.52863015613</v>
      </c>
      <c r="F25" s="17">
        <f>E25/((1+INPUT!$C$6/1200)^D25)</f>
        <v>96289.424753537096</v>
      </c>
      <c r="G25" s="17">
        <f>Differentiated!E25</f>
        <v>119097.22222222222</v>
      </c>
      <c r="H25" s="17">
        <f>G25/((1+INPUT!$C$6/1200)^D25)</f>
        <v>101723.9629851466</v>
      </c>
      <c r="N25" s="46"/>
    </row>
    <row r="26" spans="4:15" x14ac:dyDescent="0.3">
      <c r="D26" s="16">
        <v>20</v>
      </c>
      <c r="E26" s="17">
        <f>Annuity!E26</f>
        <v>112734.52863015613</v>
      </c>
      <c r="F26" s="17">
        <f>E26/((1+INPUT!$C$6/1200)^D26)</f>
        <v>95493.644383673163</v>
      </c>
      <c r="G26" s="17">
        <f>Differentiated!E26</f>
        <v>118692.12962962962</v>
      </c>
      <c r="H26" s="17">
        <f>G26/((1+INPUT!$C$6/1200)^D26)</f>
        <v>100540.12870517105</v>
      </c>
      <c r="N26" s="47" t="s">
        <v>26</v>
      </c>
      <c r="O26" s="50">
        <v>15</v>
      </c>
    </row>
    <row r="27" spans="4:15" x14ac:dyDescent="0.3">
      <c r="D27" s="16">
        <v>21</v>
      </c>
      <c r="E27" s="17">
        <f>Annuity!E27</f>
        <v>112734.52863015613</v>
      </c>
      <c r="F27" s="17">
        <f>E27/((1+INPUT!$C$6/1200)^D27)</f>
        <v>94704.440711080839</v>
      </c>
      <c r="G27" s="17">
        <f>Differentiated!E27</f>
        <v>118287.03703703704</v>
      </c>
      <c r="H27" s="17">
        <f>G27/((1+INPUT!$C$6/1200)^D27)</f>
        <v>99368.91405041024</v>
      </c>
      <c r="N27" s="48" t="s">
        <v>27</v>
      </c>
      <c r="O27" s="51">
        <v>10</v>
      </c>
    </row>
    <row r="28" spans="4:15" x14ac:dyDescent="0.3">
      <c r="D28" s="16">
        <v>22</v>
      </c>
      <c r="E28" s="17">
        <f>Annuity!E28</f>
        <v>112734.52863015613</v>
      </c>
      <c r="F28" s="17">
        <f>E28/((1+INPUT!$C$6/1200)^D28)</f>
        <v>93921.759382890057</v>
      </c>
      <c r="G28" s="17">
        <f>Differentiated!E28</f>
        <v>117881.94444444444</v>
      </c>
      <c r="H28" s="17">
        <f>G28/((1+INPUT!$C$6/1200)^D28)</f>
        <v>98210.191289491806</v>
      </c>
      <c r="N28" s="48" t="s">
        <v>25</v>
      </c>
      <c r="O28" s="51">
        <v>113620</v>
      </c>
    </row>
    <row r="29" spans="4:15" ht="15" thickBot="1" x14ac:dyDescent="0.35">
      <c r="D29" s="16">
        <v>23</v>
      </c>
      <c r="E29" s="17">
        <f>Annuity!E29</f>
        <v>112734.52863015613</v>
      </c>
      <c r="F29" s="17">
        <f>E29/((1+INPUT!$C$6/1200)^D29)</f>
        <v>93145.546495428178</v>
      </c>
      <c r="G29" s="17">
        <f>Differentiated!E29</f>
        <v>117476.85185185185</v>
      </c>
      <c r="H29" s="17">
        <f>G29/((1+INPUT!$C$6/1200)^D29)</f>
        <v>97063.83394036851</v>
      </c>
      <c r="N29" s="49" t="s">
        <v>24</v>
      </c>
      <c r="O29" s="52">
        <v>463337</v>
      </c>
    </row>
    <row r="30" spans="4:15" x14ac:dyDescent="0.3">
      <c r="D30" s="16">
        <v>24</v>
      </c>
      <c r="E30" s="17">
        <f>Annuity!E30</f>
        <v>112734.52863015613</v>
      </c>
      <c r="F30" s="17">
        <f>E30/((1+INPUT!$C$6/1200)^D30)</f>
        <v>92375.748590507283</v>
      </c>
      <c r="G30" s="17">
        <f>Differentiated!E30</f>
        <v>117071.75925925926</v>
      </c>
      <c r="H30" s="17">
        <f>G30/((1+INPUT!$C$6/1200)^D30)</f>
        <v>95929.71675839214</v>
      </c>
    </row>
    <row r="31" spans="4:15" x14ac:dyDescent="0.3">
      <c r="D31" s="16">
        <v>25</v>
      </c>
      <c r="E31" s="17">
        <f>Annuity!E31</f>
        <v>112734.52863015613</v>
      </c>
      <c r="F31" s="17">
        <f>E31/((1+INPUT!$C$6/1200)^D31)</f>
        <v>91612.312651742774</v>
      </c>
      <c r="G31" s="17">
        <f>Differentiated!E31</f>
        <v>116666.66666666666</v>
      </c>
      <c r="H31" s="17">
        <f>G31/((1+INPUT!$C$6/1200)^D31)</f>
        <v>94807.715724499765</v>
      </c>
    </row>
    <row r="32" spans="4:15" x14ac:dyDescent="0.3">
      <c r="D32" s="16">
        <v>26</v>
      </c>
      <c r="E32" s="17">
        <f>Annuity!E32</f>
        <v>112734.52863015613</v>
      </c>
      <c r="F32" s="17">
        <f>E32/((1+INPUT!$C$6/1200)^D32)</f>
        <v>90855.186100901919</v>
      </c>
      <c r="G32" s="17">
        <f>Differentiated!E32</f>
        <v>116261.57407407407</v>
      </c>
      <c r="H32" s="17">
        <f>G32/((1+INPUT!$C$6/1200)^D32)</f>
        <v>93697.708033510455</v>
      </c>
    </row>
    <row r="33" spans="4:8" x14ac:dyDescent="0.3">
      <c r="D33" s="16">
        <v>27</v>
      </c>
      <c r="E33" s="17">
        <f>Annuity!E33</f>
        <v>112734.52863015613</v>
      </c>
      <c r="F33" s="17">
        <f>E33/((1+INPUT!$C$6/1200)^D33)</f>
        <v>90104.316794282902</v>
      </c>
      <c r="G33" s="17">
        <f>Differentiated!E33</f>
        <v>115856.48148148147</v>
      </c>
      <c r="H33" s="17">
        <f>G33/((1+INPUT!$C$6/1200)^D33)</f>
        <v>92599.572082531711</v>
      </c>
    </row>
    <row r="34" spans="4:8" x14ac:dyDescent="0.3">
      <c r="D34" s="16">
        <v>28</v>
      </c>
      <c r="E34" s="17">
        <f>Annuity!E34</f>
        <v>112734.52863015613</v>
      </c>
      <c r="F34" s="17">
        <f>E34/((1+INPUT!$C$6/1200)^D34)</f>
        <v>89359.653019123536</v>
      </c>
      <c r="G34" s="17">
        <f>Differentiated!E34</f>
        <v>115451.38888888889</v>
      </c>
      <c r="H34" s="17">
        <f>G34/((1+INPUT!$C$6/1200)^D34)</f>
        <v>91513.187459474779</v>
      </c>
    </row>
    <row r="35" spans="4:8" x14ac:dyDescent="0.3">
      <c r="D35" s="16">
        <v>29</v>
      </c>
      <c r="E35" s="17">
        <f>Annuity!E35</f>
        <v>112734.52863015613</v>
      </c>
      <c r="F35" s="17">
        <f>E35/((1+INPUT!$C$6/1200)^D35)</f>
        <v>88621.143490039889</v>
      </c>
      <c r="G35" s="17">
        <f>Differentiated!E35</f>
        <v>115046.29629629629</v>
      </c>
      <c r="H35" s="17">
        <f>G35/((1+INPUT!$C$6/1200)^D35)</f>
        <v>90438.434931677577</v>
      </c>
    </row>
    <row r="36" spans="4:8" x14ac:dyDescent="0.3">
      <c r="D36" s="16">
        <v>30</v>
      </c>
      <c r="E36" s="17">
        <f>Annuity!E36</f>
        <v>112734.52863015613</v>
      </c>
      <c r="F36" s="17">
        <f>E36/((1+INPUT!$C$6/1200)^D36)</f>
        <v>87888.737345494097</v>
      </c>
      <c r="G36" s="17">
        <f>Differentiated!E36</f>
        <v>114641.20370370371</v>
      </c>
      <c r="H36" s="17">
        <f>G36/((1+INPUT!$C$6/1200)^D36)</f>
        <v>89375.196434634228</v>
      </c>
    </row>
    <row r="37" spans="4:8" x14ac:dyDescent="0.3">
      <c r="D37" s="16">
        <v>31</v>
      </c>
      <c r="E37" s="17">
        <f>Annuity!E37</f>
        <v>112734.52863015613</v>
      </c>
      <c r="F37" s="17">
        <f>E37/((1+INPUT!$C$6/1200)^D37)</f>
        <v>87162.384144291675</v>
      </c>
      <c r="G37" s="17">
        <f>Differentiated!E37</f>
        <v>114236.11111111111</v>
      </c>
      <c r="H37" s="17">
        <f>G37/((1+INPUT!$C$6/1200)^D37)</f>
        <v>88323.35506083061</v>
      </c>
    </row>
    <row r="38" spans="4:8" x14ac:dyDescent="0.3">
      <c r="D38" s="16">
        <v>32</v>
      </c>
      <c r="E38" s="17">
        <f>Annuity!E38</f>
        <v>112734.52863015613</v>
      </c>
      <c r="F38" s="17">
        <f>E38/((1+INPUT!$C$6/1200)^D38)</f>
        <v>86442.033862107448</v>
      </c>
      <c r="G38" s="17">
        <f>Differentiated!E38</f>
        <v>113831.01851851851</v>
      </c>
      <c r="H38" s="17">
        <f>G38/((1+INPUT!$C$6/1200)^D38)</f>
        <v>87282.795048684362</v>
      </c>
    </row>
    <row r="39" spans="4:8" x14ac:dyDescent="0.3">
      <c r="D39" s="16">
        <v>33</v>
      </c>
      <c r="E39" s="17">
        <f>Annuity!E39</f>
        <v>112734.52863015613</v>
      </c>
      <c r="F39" s="17">
        <f>E39/((1+INPUT!$C$6/1200)^D39)</f>
        <v>85727.636888040448</v>
      </c>
      <c r="G39" s="17">
        <f>Differentiated!E39</f>
        <v>113425.92592592593</v>
      </c>
      <c r="H39" s="17">
        <f>G39/((1+INPUT!$C$6/1200)^D39)</f>
        <v>86253.40177158892</v>
      </c>
    </row>
    <row r="40" spans="4:8" x14ac:dyDescent="0.3">
      <c r="D40" s="16">
        <v>34</v>
      </c>
      <c r="E40" s="17">
        <f>Annuity!E40</f>
        <v>112734.52863015613</v>
      </c>
      <c r="F40" s="17">
        <f>E40/((1+INPUT!$C$6/1200)^D40)</f>
        <v>85019.144021197135</v>
      </c>
      <c r="G40" s="17">
        <f>Differentiated!E40</f>
        <v>113020.83333333333</v>
      </c>
      <c r="H40" s="17">
        <f>G40/((1+INPUT!$C$6/1200)^D40)</f>
        <v>85235.061727060121</v>
      </c>
    </row>
    <row r="41" spans="4:8" x14ac:dyDescent="0.3">
      <c r="D41" s="16">
        <v>35</v>
      </c>
      <c r="E41" s="17">
        <f>Annuity!E41</f>
        <v>112734.52863015613</v>
      </c>
      <c r="F41" s="17">
        <f>E41/((1+INPUT!$C$6/1200)^D41)</f>
        <v>84316.506467302956</v>
      </c>
      <c r="G41" s="17">
        <f>Differentiated!E41</f>
        <v>112615.74074074074</v>
      </c>
      <c r="H41" s="17">
        <f>G41/((1+INPUT!$C$6/1200)^D41)</f>
        <v>84227.662525984968</v>
      </c>
    </row>
    <row r="42" spans="4:8" x14ac:dyDescent="0.3">
      <c r="D42" s="16">
        <v>36</v>
      </c>
      <c r="E42" s="17">
        <f>Annuity!E42</f>
        <v>112734.52863015613</v>
      </c>
      <c r="F42" s="17">
        <f>E42/((1+INPUT!$C$6/1200)^D42)</f>
        <v>83619.675835341783</v>
      </c>
      <c r="G42" s="17">
        <f>Differentiated!E42</f>
        <v>112210.64814814815</v>
      </c>
      <c r="H42" s="17">
        <f>G42/((1+INPUT!$C$6/1200)^D42)</f>
        <v>83231.092881970995</v>
      </c>
    </row>
    <row r="43" spans="4:8" x14ac:dyDescent="0.3">
      <c r="D43" s="16">
        <v>37</v>
      </c>
      <c r="E43" s="17">
        <f>Annuity!E43</f>
        <v>112734.52863015613</v>
      </c>
      <c r="F43" s="17">
        <f>E43/((1+INPUT!$C$6/1200)^D43)</f>
        <v>82928.604134223264</v>
      </c>
      <c r="G43" s="17">
        <f>Differentiated!E43</f>
        <v>111805.55555555555</v>
      </c>
      <c r="H43" s="17">
        <f>G43/((1+INPUT!$C$6/1200)^D43)</f>
        <v>82245.242600795988</v>
      </c>
    </row>
    <row r="44" spans="4:8" x14ac:dyDescent="0.3">
      <c r="D44" s="16">
        <v>38</v>
      </c>
      <c r="E44" s="17">
        <f>Annuity!E44</f>
        <v>112734.52863015613</v>
      </c>
      <c r="F44" s="17">
        <f>E44/((1+INPUT!$C$6/1200)^D44)</f>
        <v>82243.243769477602</v>
      </c>
      <c r="G44" s="17">
        <f>Differentiated!E44</f>
        <v>111400.46296296296</v>
      </c>
      <c r="H44" s="17">
        <f>G44/((1+INPUT!$C$6/1200)^D44)</f>
        <v>81270.002569956501</v>
      </c>
    </row>
    <row r="45" spans="4:8" x14ac:dyDescent="0.3">
      <c r="D45" s="16">
        <v>39</v>
      </c>
      <c r="E45" s="17">
        <f>Annuity!E45</f>
        <v>112734.52863015613</v>
      </c>
      <c r="F45" s="17">
        <f>E45/((1+INPUT!$C$6/1200)^D45)</f>
        <v>81563.547539977808</v>
      </c>
      <c r="G45" s="17">
        <f>Differentiated!E45</f>
        <v>110995.37037037036</v>
      </c>
      <c r="H45" s="17">
        <f>G45/((1+INPUT!$C$6/1200)^D45)</f>
        <v>80305.264748314657</v>
      </c>
    </row>
    <row r="46" spans="4:8" x14ac:dyDescent="0.3">
      <c r="D46" s="16">
        <v>40</v>
      </c>
      <c r="E46" s="17">
        <f>Annuity!E46</f>
        <v>112734.52863015613</v>
      </c>
      <c r="F46" s="17">
        <f>E46/((1+INPUT!$C$6/1200)^D46)</f>
        <v>80889.468634688717</v>
      </c>
      <c r="G46" s="17">
        <f>Differentiated!E46</f>
        <v>110590.27777777778</v>
      </c>
      <c r="H46" s="17">
        <f>G46/((1+INPUT!$C$6/1200)^D46)</f>
        <v>79350.922155842083</v>
      </c>
    </row>
    <row r="47" spans="4:8" x14ac:dyDescent="0.3">
      <c r="D47" s="16">
        <v>41</v>
      </c>
      <c r="E47" s="17">
        <f>Annuity!E47</f>
        <v>112734.52863015613</v>
      </c>
      <c r="F47" s="17">
        <f>E47/((1+INPUT!$C$6/1200)^D47)</f>
        <v>80220.960629443376</v>
      </c>
      <c r="G47" s="17">
        <f>Differentiated!E47</f>
        <v>110185.18518518518</v>
      </c>
      <c r="H47" s="17">
        <f>G47/((1+INPUT!$C$6/1200)^D47)</f>
        <v>78406.868863460346</v>
      </c>
    </row>
    <row r="48" spans="4:8" x14ac:dyDescent="0.3">
      <c r="D48" s="16">
        <v>42</v>
      </c>
      <c r="E48" s="17">
        <f>Annuity!E48</f>
        <v>112734.52863015613</v>
      </c>
      <c r="F48" s="17">
        <f>E48/((1+INPUT!$C$6/1200)^D48)</f>
        <v>79557.977483745475</v>
      </c>
      <c r="G48" s="17">
        <f>Differentiated!E48</f>
        <v>109780.09259259258</v>
      </c>
      <c r="H48" s="17">
        <f>G48/((1+INPUT!$C$6/1200)^D48)</f>
        <v>77472.999982976718</v>
      </c>
    </row>
    <row r="49" spans="4:8" x14ac:dyDescent="0.3">
      <c r="D49" s="16">
        <v>43</v>
      </c>
      <c r="E49" s="17">
        <f>Annuity!E49</f>
        <v>112734.52863015613</v>
      </c>
      <c r="F49" s="17">
        <f>E49/((1+INPUT!$C$6/1200)^D49)</f>
        <v>78900.473537598838</v>
      </c>
      <c r="G49" s="17">
        <f>Differentiated!E49</f>
        <v>109375</v>
      </c>
      <c r="H49" s="17">
        <f>G49/((1+INPUT!$C$6/1200)^D49)</f>
        <v>76549.211657114647</v>
      </c>
    </row>
    <row r="50" spans="4:8" x14ac:dyDescent="0.3">
      <c r="D50" s="16">
        <v>44</v>
      </c>
      <c r="E50" s="17">
        <f>Annuity!E50</f>
        <v>112734.52863015613</v>
      </c>
      <c r="F50" s="17">
        <f>E50/((1+INPUT!$C$6/1200)^D50)</f>
        <v>78248.403508362477</v>
      </c>
      <c r="G50" s="17">
        <f>Differentiated!E50</f>
        <v>108969.9074074074</v>
      </c>
      <c r="H50" s="17">
        <f>G50/((1+INPUT!$C$6/1200)^D50)</f>
        <v>75635.401049637599</v>
      </c>
    </row>
    <row r="51" spans="4:8" x14ac:dyDescent="0.3">
      <c r="D51" s="16">
        <v>45</v>
      </c>
      <c r="E51" s="17">
        <f>Annuity!E51</f>
        <v>112734.52863015613</v>
      </c>
      <c r="F51" s="17">
        <f>E51/((1+INPUT!$C$6/1200)^D51)</f>
        <v>77601.722487632229</v>
      </c>
      <c r="G51" s="17">
        <f>Differentiated!E51</f>
        <v>108564.8148148148</v>
      </c>
      <c r="H51" s="17">
        <f>G51/((1+INPUT!$C$6/1200)^D51)</f>
        <v>74731.466335566249</v>
      </c>
    </row>
    <row r="52" spans="4:8" x14ac:dyDescent="0.3">
      <c r="D52" s="16">
        <v>46</v>
      </c>
      <c r="E52" s="17">
        <f>Annuity!E52</f>
        <v>112734.52863015613</v>
      </c>
      <c r="F52" s="17">
        <f>E52/((1+INPUT!$C$6/1200)^D52)</f>
        <v>76960.38593814765</v>
      </c>
      <c r="G52" s="17">
        <f>Differentiated!E52</f>
        <v>108159.72222222222</v>
      </c>
      <c r="H52" s="17">
        <f>G52/((1+INPUT!$C$6/1200)^D52)</f>
        <v>73837.306691487072</v>
      </c>
    </row>
    <row r="53" spans="4:8" x14ac:dyDescent="0.3">
      <c r="D53" s="16">
        <v>47</v>
      </c>
      <c r="E53" s="17">
        <f>Annuity!E53</f>
        <v>112734.52863015613</v>
      </c>
      <c r="F53" s="17">
        <f>E53/((1+INPUT!$C$6/1200)^D53)</f>
        <v>76324.34969072495</v>
      </c>
      <c r="G53" s="17">
        <f>Differentiated!E53</f>
        <v>107754.62962962964</v>
      </c>
      <c r="H53" s="17">
        <f>G53/((1+INPUT!$C$6/1200)^D53)</f>
        <v>72952.822285952498</v>
      </c>
    </row>
    <row r="54" spans="4:8" x14ac:dyDescent="0.3">
      <c r="D54" s="16">
        <v>48</v>
      </c>
      <c r="E54" s="17">
        <f>Annuity!E54</f>
        <v>112734.52863015613</v>
      </c>
      <c r="F54" s="17">
        <f>E54/((1+INPUT!$C$6/1200)^D54)</f>
        <v>75693.569941214839</v>
      </c>
      <c r="G54" s="17">
        <f>Differentiated!E54</f>
        <v>107349.53703703704</v>
      </c>
      <c r="H54" s="17">
        <f>G54/((1+INPUT!$C$6/1200)^D54)</f>
        <v>72077.914269971094</v>
      </c>
    </row>
    <row r="55" spans="4:8" x14ac:dyDescent="0.3">
      <c r="D55" s="16">
        <v>49</v>
      </c>
      <c r="E55" s="17">
        <f>Annuity!E55</f>
        <v>112734.52863015613</v>
      </c>
      <c r="F55" s="17">
        <f>E55/((1+INPUT!$C$6/1200)^D55)</f>
        <v>75068.003247485787</v>
      </c>
      <c r="G55" s="17">
        <f>Differentiated!E55</f>
        <v>106944.44444444444</v>
      </c>
      <c r="H55" s="17">
        <f>G55/((1+INPUT!$C$6/1200)^D55)</f>
        <v>71212.484767587215</v>
      </c>
    </row>
    <row r="56" spans="4:8" x14ac:dyDescent="0.3">
      <c r="D56" s="16">
        <v>50</v>
      </c>
      <c r="E56" s="17">
        <f>Annuity!E56</f>
        <v>112734.52863015613</v>
      </c>
      <c r="F56" s="17">
        <f>E56/((1+INPUT!$C$6/1200)^D56)</f>
        <v>74447.606526432181</v>
      </c>
      <c r="G56" s="17">
        <f>Differentiated!E56</f>
        <v>106539.35185185185</v>
      </c>
      <c r="H56" s="17">
        <f>G56/((1+INPUT!$C$6/1200)^D56)</f>
        <v>70356.436866549353</v>
      </c>
    </row>
    <row r="57" spans="4:8" x14ac:dyDescent="0.3">
      <c r="D57" s="16">
        <v>51</v>
      </c>
      <c r="E57" s="17">
        <f>Annuity!E57</f>
        <v>112734.52863015613</v>
      </c>
      <c r="F57" s="17">
        <f>E57/((1+INPUT!$C$6/1200)^D57)</f>
        <v>73832.337051007125</v>
      </c>
      <c r="G57" s="17">
        <f>Differentiated!E57</f>
        <v>106134.25925925926</v>
      </c>
      <c r="H57" s="17">
        <f>G57/((1+INPUT!$C$6/1200)^D57)</f>
        <v>69509.674609066133</v>
      </c>
    </row>
    <row r="58" spans="4:8" x14ac:dyDescent="0.3">
      <c r="D58" s="16">
        <v>52</v>
      </c>
      <c r="E58" s="17">
        <f>Annuity!E58</f>
        <v>112734.52863015613</v>
      </c>
      <c r="F58" s="17">
        <f>E58/((1+INPUT!$C$6/1200)^D58)</f>
        <v>73222.152447279805</v>
      </c>
      <c r="G58" s="17">
        <f>Differentiated!E58</f>
        <v>105729.16666666667</v>
      </c>
      <c r="H58" s="17">
        <f>G58/((1+INPUT!$C$6/1200)^D58)</f>
        <v>68672.10298264942</v>
      </c>
    </row>
    <row r="59" spans="4:8" x14ac:dyDescent="0.3">
      <c r="D59" s="16">
        <v>53</v>
      </c>
      <c r="E59" s="17">
        <f>Annuity!E59</f>
        <v>112734.52863015613</v>
      </c>
      <c r="F59" s="17">
        <f>E59/((1+INPUT!$C$6/1200)^D59)</f>
        <v>72617.010691517164</v>
      </c>
      <c r="G59" s="17">
        <f>Differentiated!E59</f>
        <v>105324.07407407407</v>
      </c>
      <c r="H59" s="17">
        <f>G59/((1+INPUT!$C$6/1200)^D59)</f>
        <v>67843.627911043412</v>
      </c>
    </row>
    <row r="60" spans="4:8" x14ac:dyDescent="0.3">
      <c r="D60" s="16">
        <v>54</v>
      </c>
      <c r="E60" s="17">
        <f>Annuity!E60</f>
        <v>112734.52863015613</v>
      </c>
      <c r="F60" s="17">
        <f>E60/((1+INPUT!$C$6/1200)^D60)</f>
        <v>72016.870107289738</v>
      </c>
      <c r="G60" s="17">
        <f>Differentiated!E60</f>
        <v>104918.98148148147</v>
      </c>
      <c r="H60" s="17">
        <f>G60/((1+INPUT!$C$6/1200)^D60)</f>
        <v>67024.156245239312</v>
      </c>
    </row>
    <row r="61" spans="4:8" x14ac:dyDescent="0.3">
      <c r="D61" s="16">
        <v>55</v>
      </c>
      <c r="E61" s="17">
        <f>Annuity!E61</f>
        <v>112734.52863015613</v>
      </c>
      <c r="F61" s="17">
        <f>E61/((1+INPUT!$C$6/1200)^D61)</f>
        <v>71421.689362601406</v>
      </c>
      <c r="G61" s="17">
        <f>Differentiated!E61</f>
        <v>104513.88888888889</v>
      </c>
      <c r="H61" s="17">
        <f>G61/((1+INPUT!$C$6/1200)^D61)</f>
        <v>66213.59575457449</v>
      </c>
    </row>
    <row r="62" spans="4:8" x14ac:dyDescent="0.3">
      <c r="D62" s="16">
        <v>56</v>
      </c>
      <c r="E62" s="17">
        <f>Annuity!E62</f>
        <v>112734.52863015613</v>
      </c>
      <c r="F62" s="17">
        <f>E62/((1+INPUT!$C$6/1200)^D62)</f>
        <v>70831.427467042726</v>
      </c>
      <c r="G62" s="17">
        <f>Differentiated!E62</f>
        <v>104108.79629629629</v>
      </c>
      <c r="H62" s="17">
        <f>G62/((1+INPUT!$C$6/1200)^D62)</f>
        <v>65411.855117915205</v>
      </c>
    </row>
    <row r="63" spans="4:8" x14ac:dyDescent="0.3">
      <c r="D63" s="16">
        <v>57</v>
      </c>
      <c r="E63" s="17">
        <f>Annuity!E63</f>
        <v>112734.52863015613</v>
      </c>
      <c r="F63" s="17">
        <f>E63/((1+INPUT!$C$6/1200)^D63)</f>
        <v>70246.043768967997</v>
      </c>
      <c r="G63" s="17">
        <f>Differentiated!E63</f>
        <v>103703.70370370371</v>
      </c>
      <c r="H63" s="17">
        <f>G63/((1+INPUT!$C$6/1200)^D63)</f>
        <v>64618.843914922843</v>
      </c>
    </row>
    <row r="64" spans="4:8" x14ac:dyDescent="0.3">
      <c r="D64" s="16">
        <v>58</v>
      </c>
      <c r="E64" s="17">
        <f>Annuity!E64</f>
        <v>112734.52863015613</v>
      </c>
      <c r="F64" s="17">
        <f>E64/((1+INPUT!$C$6/1200)^D64)</f>
        <v>69665.497952695529</v>
      </c>
      <c r="G64" s="17">
        <f>Differentiated!E64</f>
        <v>103298.61111111111</v>
      </c>
      <c r="H64" s="17">
        <f>G64/((1+INPUT!$C$6/1200)^D64)</f>
        <v>63834.472617401821</v>
      </c>
    </row>
    <row r="65" spans="4:8" x14ac:dyDescent="0.3">
      <c r="D65" s="16">
        <v>59</v>
      </c>
      <c r="E65" s="17">
        <f>Annuity!E65</f>
        <v>112734.52863015613</v>
      </c>
      <c r="F65" s="17">
        <f>E65/((1+INPUT!$C$6/1200)^D65)</f>
        <v>69089.750035731107</v>
      </c>
      <c r="G65" s="17">
        <f>Differentiated!E65</f>
        <v>102893.51851851851</v>
      </c>
      <c r="H65" s="17">
        <f>G65/((1+INPUT!$C$6/1200)^D65)</f>
        <v>63058.652580729453</v>
      </c>
    </row>
    <row r="66" spans="4:8" x14ac:dyDescent="0.3">
      <c r="D66" s="16">
        <v>60</v>
      </c>
      <c r="E66" s="17">
        <f>Annuity!E66</f>
        <v>112734.52863015613</v>
      </c>
      <c r="F66" s="17">
        <f>E66/((1+INPUT!$C$6/1200)^D66)</f>
        <v>68518.760366014321</v>
      </c>
      <c r="G66" s="17">
        <f>Differentiated!E66</f>
        <v>102488.42592592593</v>
      </c>
      <c r="H66" s="17">
        <f>G66/((1+INPUT!$C$6/1200)^D66)</f>
        <v>62291.296035366249</v>
      </c>
    </row>
    <row r="67" spans="4:8" x14ac:dyDescent="0.3">
      <c r="D67" s="16">
        <v>61</v>
      </c>
      <c r="E67" s="17">
        <f>Annuity!E67</f>
        <v>112734.52863015613</v>
      </c>
      <c r="F67" s="17">
        <f>E67/((1+INPUT!$C$6/1200)^D67)</f>
        <v>67952.489619187763</v>
      </c>
      <c r="G67" s="17">
        <f>Differentiated!E67</f>
        <v>102083.33333333333</v>
      </c>
      <c r="H67" s="17">
        <f>G67/((1+INPUT!$C$6/1200)^D67)</f>
        <v>61532.316078446274</v>
      </c>
    </row>
    <row r="68" spans="4:8" x14ac:dyDescent="0.3">
      <c r="D68" s="16">
        <v>62</v>
      </c>
      <c r="E68" s="17">
        <f>Annuity!E68</f>
        <v>112734.52863015613</v>
      </c>
      <c r="F68" s="17">
        <f>E68/((1+INPUT!$C$6/1200)^D68)</f>
        <v>67390.898795888686</v>
      </c>
      <c r="G68" s="17">
        <f>Differentiated!E68</f>
        <v>101678.24074074074</v>
      </c>
      <c r="H68" s="17">
        <f>G68/((1+INPUT!$C$6/1200)^D68)</f>
        <v>60781.626665446725</v>
      </c>
    </row>
    <row r="69" spans="4:8" x14ac:dyDescent="0.3">
      <c r="D69" s="16">
        <v>63</v>
      </c>
      <c r="E69" s="17">
        <f>Annuity!E69</f>
        <v>112734.52863015613</v>
      </c>
      <c r="F69" s="17">
        <f>E69/((1+INPUT!$C$6/1200)^D69)</f>
        <v>66833.949219063172</v>
      </c>
      <c r="G69" s="17">
        <f>Differentiated!E69</f>
        <v>101273.14814814815</v>
      </c>
      <c r="H69" s="17">
        <f>G69/((1+INPUT!$C$6/1200)^D69)</f>
        <v>60039.142601936124</v>
      </c>
    </row>
    <row r="70" spans="4:8" x14ac:dyDescent="0.3">
      <c r="D70" s="16">
        <v>64</v>
      </c>
      <c r="E70" s="17">
        <f>Annuity!E70</f>
        <v>112734.52863015613</v>
      </c>
      <c r="F70" s="17">
        <f>E70/((1+INPUT!$C$6/1200)^D70)</f>
        <v>66281.602531302313</v>
      </c>
      <c r="G70" s="17">
        <f>Differentiated!E70</f>
        <v>100868.05555555555</v>
      </c>
      <c r="H70" s="17">
        <f>G70/((1+INPUT!$C$6/1200)^D70)</f>
        <v>59304.779535400041</v>
      </c>
    </row>
    <row r="71" spans="4:8" x14ac:dyDescent="0.3">
      <c r="D71" s="16">
        <v>65</v>
      </c>
      <c r="E71" s="17">
        <f>Annuity!E71</f>
        <v>112734.52863015613</v>
      </c>
      <c r="F71" s="17">
        <f>E71/((1+INPUT!$C$6/1200)^D71)</f>
        <v>65733.82069220065</v>
      </c>
      <c r="G71" s="17">
        <f>Differentiated!E71</f>
        <v>100462.96296296296</v>
      </c>
      <c r="H71" s="17">
        <f>G71/((1+INPUT!$C$6/1200)^D71)</f>
        <v>58578.453947144131</v>
      </c>
    </row>
    <row r="72" spans="4:8" x14ac:dyDescent="0.3">
      <c r="D72" s="16">
        <v>66</v>
      </c>
      <c r="E72" s="17">
        <f>Annuity!E72</f>
        <v>112734.52863015613</v>
      </c>
      <c r="F72" s="17">
        <f>E72/((1+INPUT!$C$6/1200)^D72)</f>
        <v>65190.565975736179</v>
      </c>
      <c r="G72" s="17">
        <f>Differentiated!E72</f>
        <v>100057.87037037036</v>
      </c>
      <c r="H72" s="17">
        <f>G72/((1+INPUT!$C$6/1200)^D72)</f>
        <v>57860.08314427326</v>
      </c>
    </row>
    <row r="73" spans="4:8" x14ac:dyDescent="0.3">
      <c r="D73" s="16">
        <v>67</v>
      </c>
      <c r="E73" s="17">
        <f>Annuity!E73</f>
        <v>112734.52863015613</v>
      </c>
      <c r="F73" s="17">
        <f>E73/((1+INPUT!$C$6/1200)^D73)</f>
        <v>64651.80096767225</v>
      </c>
      <c r="G73" s="17">
        <f>Differentiated!E73</f>
        <v>99652.777777777781</v>
      </c>
      <c r="H73" s="17">
        <f>G73/((1+INPUT!$C$6/1200)^D73)</f>
        <v>57149.585251746474</v>
      </c>
    </row>
    <row r="74" spans="4:8" x14ac:dyDescent="0.3">
      <c r="D74" s="16">
        <v>68</v>
      </c>
      <c r="E74" s="17">
        <f>Annuity!E74</f>
        <v>112734.52863015613</v>
      </c>
      <c r="F74" s="17">
        <f>E74/((1+INPUT!$C$6/1200)^D74)</f>
        <v>64117.488562980747</v>
      </c>
      <c r="G74" s="17">
        <f>Differentiated!E74</f>
        <v>99247.685185185182</v>
      </c>
      <c r="H74" s="17">
        <f>G74/((1+INPUT!$C$6/1200)^D74)</f>
        <v>56446.879204506695</v>
      </c>
    </row>
    <row r="75" spans="4:8" x14ac:dyDescent="0.3">
      <c r="D75" s="16">
        <v>69</v>
      </c>
      <c r="E75" s="17">
        <f>Annuity!E75</f>
        <v>112734.52863015613</v>
      </c>
      <c r="F75" s="17">
        <f>E75/((1+INPUT!$C$6/1200)^D75)</f>
        <v>63587.591963286701</v>
      </c>
      <c r="G75" s="17">
        <f>Differentiated!E75</f>
        <v>98842.592592592584</v>
      </c>
      <c r="H75" s="17">
        <f>G75/((1+INPUT!$C$6/1200)^D75)</f>
        <v>55751.884739684807</v>
      </c>
    </row>
    <row r="76" spans="4:8" x14ac:dyDescent="0.3">
      <c r="D76" s="16">
        <v>70</v>
      </c>
      <c r="E76" s="17">
        <f>Annuity!E76</f>
        <v>112734.52863015613</v>
      </c>
      <c r="F76" s="17">
        <f>E76/((1+INPUT!$C$6/1200)^D76)</f>
        <v>63062.074674333911</v>
      </c>
      <c r="G76" s="17">
        <f>Differentiated!E76</f>
        <v>98437.5</v>
      </c>
      <c r="H76" s="17">
        <f>G76/((1+INPUT!$C$6/1200)^D76)</f>
        <v>55064.522388877151</v>
      </c>
    </row>
    <row r="77" spans="4:8" x14ac:dyDescent="0.3">
      <c r="D77" s="16">
        <v>71</v>
      </c>
      <c r="E77" s="17">
        <f>Annuity!E77</f>
        <v>112734.52863015613</v>
      </c>
      <c r="F77" s="17">
        <f>E77/((1+INPUT!$C$6/1200)^D77)</f>
        <v>62540.900503471661</v>
      </c>
      <c r="G77" s="17">
        <f>Differentiated!E77</f>
        <v>98032.407407407401</v>
      </c>
      <c r="H77" s="17">
        <f>G77/((1+INPUT!$C$6/1200)^D77)</f>
        <v>54384.713470495961</v>
      </c>
    </row>
    <row r="78" spans="4:8" ht="15" thickBot="1" x14ac:dyDescent="0.35">
      <c r="D78" s="34">
        <v>72</v>
      </c>
      <c r="E78" s="35">
        <f>Annuity!E78</f>
        <v>112734.52863015613</v>
      </c>
      <c r="F78" s="35">
        <f>E78/((1+INPUT!$C$6/1200)^D78)</f>
        <v>62024.033557161973</v>
      </c>
      <c r="G78" s="35">
        <f>Differentiated!E78</f>
        <v>97627.314814814818</v>
      </c>
      <c r="H78" s="35">
        <f>G78/((1+INPUT!$C$6/1200)^D78)</f>
        <v>53712.380082191899</v>
      </c>
    </row>
    <row r="79" spans="4:8" ht="16.2" thickBot="1" x14ac:dyDescent="0.35">
      <c r="D79" s="36" t="s">
        <v>6</v>
      </c>
      <c r="E79" s="37">
        <f>SUM(E7:E78)</f>
        <v>8116886.061371238</v>
      </c>
      <c r="F79" s="37">
        <f>SUM(F7:F78)</f>
        <v>6085259.4087593257</v>
      </c>
      <c r="G79" s="37">
        <f>SUM(G7:G78)</f>
        <v>8064583.333333333</v>
      </c>
      <c r="H79" s="38">
        <f>SUM(H7:H78)</f>
        <v>6123962.9051857842</v>
      </c>
    </row>
  </sheetData>
  <mergeCells count="7">
    <mergeCell ref="N5:O5"/>
    <mergeCell ref="J11:K11"/>
    <mergeCell ref="D5:H5"/>
    <mergeCell ref="J6:J7"/>
    <mergeCell ref="J8:J9"/>
    <mergeCell ref="J5:L5"/>
    <mergeCell ref="J10:K10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F2777-3DF1-4318-93C8-1A23800E309C}">
  <dimension ref="C3:Q77"/>
  <sheetViews>
    <sheetView tabSelected="1" topLeftCell="C1" workbookViewId="0">
      <selection activeCell="E21" sqref="E21"/>
    </sheetView>
  </sheetViews>
  <sheetFormatPr defaultRowHeight="14.4" x14ac:dyDescent="0.3"/>
  <cols>
    <col min="3" max="3" width="37.109375" bestFit="1" customWidth="1"/>
    <col min="4" max="4" width="31" customWidth="1"/>
    <col min="7" max="7" width="12.44140625" bestFit="1" customWidth="1"/>
    <col min="8" max="8" width="14" customWidth="1"/>
    <col min="9" max="9" width="10.109375" customWidth="1"/>
    <col min="10" max="10" width="15.6640625" customWidth="1"/>
    <col min="11" max="11" width="10.109375" customWidth="1"/>
    <col min="12" max="12" width="15.5546875" customWidth="1"/>
    <col min="13" max="13" width="13.33203125" customWidth="1"/>
    <col min="14" max="14" width="15.88671875" customWidth="1"/>
    <col min="15" max="15" width="12.44140625" bestFit="1" customWidth="1"/>
    <col min="16" max="16" width="16.6640625" customWidth="1"/>
    <col min="17" max="17" width="9" bestFit="1" customWidth="1"/>
  </cols>
  <sheetData>
    <row r="3" spans="3:16" ht="15" thickBot="1" x14ac:dyDescent="0.35"/>
    <row r="4" spans="3:16" ht="45.6" thickBot="1" x14ac:dyDescent="0.4">
      <c r="C4" s="79" t="s">
        <v>29</v>
      </c>
      <c r="D4" s="76">
        <v>300000</v>
      </c>
      <c r="F4" s="74" t="s">
        <v>33</v>
      </c>
      <c r="G4" s="21" t="s">
        <v>34</v>
      </c>
      <c r="H4" s="21" t="s">
        <v>51</v>
      </c>
      <c r="I4" s="21" t="s">
        <v>61</v>
      </c>
      <c r="J4" s="21" t="s">
        <v>63</v>
      </c>
      <c r="K4" s="21" t="s">
        <v>62</v>
      </c>
      <c r="L4" s="21" t="s">
        <v>64</v>
      </c>
      <c r="M4" s="21" t="s">
        <v>49</v>
      </c>
      <c r="N4" s="21" t="s">
        <v>50</v>
      </c>
      <c r="O4" s="21" t="s">
        <v>52</v>
      </c>
      <c r="P4" s="22" t="s">
        <v>53</v>
      </c>
    </row>
    <row r="5" spans="3:16" ht="18" x14ac:dyDescent="0.35">
      <c r="C5" s="80" t="s">
        <v>30</v>
      </c>
      <c r="D5" s="77">
        <v>5</v>
      </c>
      <c r="F5" s="18">
        <v>1</v>
      </c>
      <c r="G5" s="19">
        <f>Analysis!E7</f>
        <v>112734.52863015613</v>
      </c>
      <c r="H5" s="19">
        <f>Analysis!G7</f>
        <v>126388.88888888889</v>
      </c>
      <c r="I5" s="82">
        <f>G5/$D$4</f>
        <v>0.37578176210052044</v>
      </c>
      <c r="J5" s="82">
        <f>H5/$D$4</f>
        <v>0.42129629629629628</v>
      </c>
      <c r="K5" s="83">
        <f>(($D$5/1200)*(1+$D$6*I5))*100</f>
        <v>1.1995453377094174</v>
      </c>
      <c r="L5" s="83">
        <f>(($D$5/1200)*(1+$D$6*J5))*100</f>
        <v>1.2943672839506173</v>
      </c>
      <c r="M5" s="18">
        <v>1</v>
      </c>
      <c r="N5" s="18">
        <v>1</v>
      </c>
      <c r="O5" s="84">
        <f>Analysis!F7*Default_Risk!M5</f>
        <v>111802.83831089865</v>
      </c>
      <c r="P5" s="84">
        <f>Analysis!H7*Default_Risk!N5</f>
        <v>125344.3526170799</v>
      </c>
    </row>
    <row r="6" spans="3:16" ht="18" x14ac:dyDescent="0.35">
      <c r="C6" s="80" t="s">
        <v>31</v>
      </c>
      <c r="D6" s="77">
        <v>5</v>
      </c>
      <c r="F6" s="16">
        <v>2</v>
      </c>
      <c r="G6" s="17">
        <f>Analysis!E8</f>
        <v>112734.52863015613</v>
      </c>
      <c r="H6" s="17">
        <f>Analysis!G8</f>
        <v>125983.79629629629</v>
      </c>
      <c r="I6" s="85">
        <f t="shared" ref="I6:J69" si="0">G6/$D$4</f>
        <v>0.37578176210052044</v>
      </c>
      <c r="J6" s="85">
        <f t="shared" si="0"/>
        <v>0.41994598765432095</v>
      </c>
      <c r="K6" s="86">
        <f t="shared" ref="K6:L69" si="1">(($D$5/1200)*(1+$D$6*I6))*100</f>
        <v>1.1995453377094174</v>
      </c>
      <c r="L6" s="86">
        <f t="shared" si="1"/>
        <v>1.2915541409465021</v>
      </c>
      <c r="M6" s="86">
        <f>M5*(1-K5/100)</f>
        <v>0.98800454662290582</v>
      </c>
      <c r="N6" s="86">
        <f>N5*(1-L5/100)</f>
        <v>0.98705632716049385</v>
      </c>
      <c r="O6" s="14">
        <f>Analysis!F8*Default_Risk!M6</f>
        <v>109548.80586100509</v>
      </c>
      <c r="P6" s="14">
        <f>Analysis!H8*Default_Risk!N6</f>
        <v>122306.17354395163</v>
      </c>
    </row>
    <row r="7" spans="3:16" ht="18.600000000000001" thickBot="1" x14ac:dyDescent="0.4">
      <c r="C7" s="81" t="s">
        <v>32</v>
      </c>
      <c r="D7" s="78">
        <f>INPUT!C6</f>
        <v>10</v>
      </c>
      <c r="F7" s="16">
        <v>3</v>
      </c>
      <c r="G7" s="17">
        <f>Analysis!E9</f>
        <v>112734.52863015613</v>
      </c>
      <c r="H7" s="17">
        <f>Analysis!G9</f>
        <v>125578.70370370371</v>
      </c>
      <c r="I7" s="85">
        <f t="shared" si="0"/>
        <v>0.37578176210052044</v>
      </c>
      <c r="J7" s="85">
        <f t="shared" si="0"/>
        <v>0.41859567901234568</v>
      </c>
      <c r="K7" s="86">
        <f t="shared" si="1"/>
        <v>1.1995453377094174</v>
      </c>
      <c r="L7" s="86">
        <f t="shared" si="1"/>
        <v>1.2887409979423867</v>
      </c>
      <c r="M7" s="86">
        <f t="shared" ref="M7:N70" si="2">M6*(1-K6/100)</f>
        <v>0.97615298414753371</v>
      </c>
      <c r="N7" s="86">
        <f t="shared" si="2"/>
        <v>0.97430796029357802</v>
      </c>
      <c r="O7" s="14">
        <f>Analysis!F9*Default_Risk!M7</f>
        <v>107340.2164639171</v>
      </c>
      <c r="P7" s="14">
        <f>Analysis!H9*Default_Risk!N7</f>
        <v>119343.80322422228</v>
      </c>
    </row>
    <row r="8" spans="3:16" ht="15" thickBot="1" x14ac:dyDescent="0.35">
      <c r="F8" s="16">
        <v>4</v>
      </c>
      <c r="G8" s="17">
        <f>Analysis!E10</f>
        <v>112734.52863015613</v>
      </c>
      <c r="H8" s="17">
        <f>Analysis!G10</f>
        <v>125173.61111111111</v>
      </c>
      <c r="I8" s="85">
        <f t="shared" si="0"/>
        <v>0.37578176210052044</v>
      </c>
      <c r="J8" s="85">
        <f t="shared" si="0"/>
        <v>0.41724537037037035</v>
      </c>
      <c r="K8" s="86">
        <f t="shared" si="1"/>
        <v>1.1995453377094174</v>
      </c>
      <c r="L8" s="86">
        <f t="shared" si="1"/>
        <v>1.2859278549382716</v>
      </c>
      <c r="M8" s="86">
        <f t="shared" si="2"/>
        <v>0.96444358653728057</v>
      </c>
      <c r="N8" s="86">
        <f t="shared" si="2"/>
        <v>0.96175165416305852</v>
      </c>
      <c r="O8" s="14">
        <f>Analysis!F10*Default_Risk!M8</f>
        <v>105176.15395223502</v>
      </c>
      <c r="P8" s="14">
        <f>Analysis!H10*Default_Risk!N8</f>
        <v>116455.29132733414</v>
      </c>
    </row>
    <row r="9" spans="3:16" ht="15.6" thickBot="1" x14ac:dyDescent="0.35">
      <c r="C9" s="74" t="s">
        <v>54</v>
      </c>
      <c r="D9" s="75" t="s">
        <v>55</v>
      </c>
      <c r="F9" s="16">
        <v>5</v>
      </c>
      <c r="G9" s="17">
        <f>Analysis!E11</f>
        <v>112734.52863015613</v>
      </c>
      <c r="H9" s="17">
        <f>Analysis!G11</f>
        <v>124768.51851851851</v>
      </c>
      <c r="I9" s="85">
        <f t="shared" si="0"/>
        <v>0.37578176210052044</v>
      </c>
      <c r="J9" s="85">
        <f t="shared" si="0"/>
        <v>0.41589506172839502</v>
      </c>
      <c r="K9" s="86">
        <f t="shared" si="1"/>
        <v>1.1995453377094174</v>
      </c>
      <c r="L9" s="86">
        <f t="shared" si="1"/>
        <v>1.2831147119341562</v>
      </c>
      <c r="M9" s="86">
        <f t="shared" si="2"/>
        <v>0.95287464846013514</v>
      </c>
      <c r="N9" s="86">
        <f t="shared" si="2"/>
        <v>0.94938422174684611</v>
      </c>
      <c r="O9" s="14">
        <f>Analysis!F11*Default_Risk!M9</f>
        <v>103055.72062920884</v>
      </c>
      <c r="P9" s="14">
        <f>Analysis!H11*Default_Risk!N9</f>
        <v>113638.73921740442</v>
      </c>
    </row>
    <row r="10" spans="3:16" ht="28.2" x14ac:dyDescent="0.3">
      <c r="C10" s="90" t="s">
        <v>56</v>
      </c>
      <c r="D10" s="91" t="s">
        <v>69</v>
      </c>
      <c r="F10" s="16">
        <v>6</v>
      </c>
      <c r="G10" s="17">
        <f>Analysis!E12</f>
        <v>112734.52863015613</v>
      </c>
      <c r="H10" s="17">
        <f>Analysis!G12</f>
        <v>124363.42592592593</v>
      </c>
      <c r="I10" s="85">
        <f t="shared" si="0"/>
        <v>0.37578176210052044</v>
      </c>
      <c r="J10" s="85">
        <f t="shared" si="0"/>
        <v>0.41454475308641975</v>
      </c>
      <c r="K10" s="86">
        <f t="shared" si="1"/>
        <v>1.1995453377094174</v>
      </c>
      <c r="L10" s="86">
        <f t="shared" si="1"/>
        <v>1.2803015689300412</v>
      </c>
      <c r="M10" s="86">
        <f t="shared" si="2"/>
        <v>0.94144448504031664</v>
      </c>
      <c r="N10" s="86">
        <f t="shared" si="2"/>
        <v>0.93720253312483082</v>
      </c>
      <c r="O10" s="14">
        <f>Analysis!F12*Default_Risk!M10</f>
        <v>100978.03689635536</v>
      </c>
      <c r="P10" s="14">
        <f>Analysis!H12*Default_Risk!N10</f>
        <v>110892.29854352423</v>
      </c>
    </row>
    <row r="11" spans="3:16" ht="27.6" x14ac:dyDescent="0.3">
      <c r="C11" s="55" t="s">
        <v>57</v>
      </c>
      <c r="D11" s="92" t="s">
        <v>68</v>
      </c>
      <c r="F11" s="16">
        <v>7</v>
      </c>
      <c r="G11" s="17">
        <f>Analysis!E13</f>
        <v>112734.52863015613</v>
      </c>
      <c r="H11" s="17">
        <f>Analysis!G13</f>
        <v>123958.33333333333</v>
      </c>
      <c r="I11" s="85">
        <f t="shared" si="0"/>
        <v>0.37578176210052044</v>
      </c>
      <c r="J11" s="85">
        <f t="shared" si="0"/>
        <v>0.41319444444444442</v>
      </c>
      <c r="K11" s="86">
        <f t="shared" si="1"/>
        <v>1.1995453377094174</v>
      </c>
      <c r="L11" s="86">
        <f t="shared" si="1"/>
        <v>1.277488425925926</v>
      </c>
      <c r="M11" s="86">
        <f t="shared" si="2"/>
        <v>0.93015143161289304</v>
      </c>
      <c r="N11" s="86">
        <f t="shared" si="2"/>
        <v>0.92520351438918147</v>
      </c>
      <c r="O11" s="14">
        <f>Analysis!F13*Default_Risk!M11</f>
        <v>98942.240888583125</v>
      </c>
      <c r="P11" s="14">
        <f>Analysis!H13*Default_Risk!N11</f>
        <v>108214.16986954758</v>
      </c>
    </row>
    <row r="12" spans="3:16" x14ac:dyDescent="0.3">
      <c r="C12" s="55" t="s">
        <v>58</v>
      </c>
      <c r="D12" s="92" t="s">
        <v>67</v>
      </c>
      <c r="F12" s="16">
        <v>8</v>
      </c>
      <c r="G12" s="17">
        <f>Analysis!E14</f>
        <v>112734.52863015613</v>
      </c>
      <c r="H12" s="17">
        <f>Analysis!G14</f>
        <v>123553.24074074073</v>
      </c>
      <c r="I12" s="85">
        <f t="shared" si="0"/>
        <v>0.37578176210052044</v>
      </c>
      <c r="J12" s="85">
        <f t="shared" si="0"/>
        <v>0.41184413580246909</v>
      </c>
      <c r="K12" s="86">
        <f t="shared" si="1"/>
        <v>1.1995453377094174</v>
      </c>
      <c r="L12" s="86">
        <f t="shared" si="1"/>
        <v>1.2746752829218106</v>
      </c>
      <c r="M12" s="86">
        <f t="shared" si="2"/>
        <v>0.91899384348134316</v>
      </c>
      <c r="N12" s="86">
        <f t="shared" si="2"/>
        <v>0.91338414657659983</v>
      </c>
      <c r="O12" s="14">
        <f>Analysis!F14*Default_Risk!M12</f>
        <v>96947.488116673281</v>
      </c>
      <c r="P12" s="14">
        <f>Analysis!H14*Default_Risk!N12</f>
        <v>105602.60134223608</v>
      </c>
    </row>
    <row r="13" spans="3:16" ht="28.2" x14ac:dyDescent="0.3">
      <c r="C13" s="55" t="s">
        <v>59</v>
      </c>
      <c r="D13" s="92" t="s">
        <v>66</v>
      </c>
      <c r="F13" s="16">
        <v>9</v>
      </c>
      <c r="G13" s="17">
        <f>Analysis!E15</f>
        <v>112734.52863015613</v>
      </c>
      <c r="H13" s="17">
        <f>Analysis!G15</f>
        <v>123148.14814814815</v>
      </c>
      <c r="I13" s="85">
        <f t="shared" si="0"/>
        <v>0.37578176210052044</v>
      </c>
      <c r="J13" s="85">
        <f t="shared" si="0"/>
        <v>0.41049382716049382</v>
      </c>
      <c r="K13" s="86">
        <f t="shared" si="1"/>
        <v>1.1995453377094174</v>
      </c>
      <c r="L13" s="86">
        <f t="shared" si="1"/>
        <v>1.2718621399176955</v>
      </c>
      <c r="M13" s="86">
        <f t="shared" si="2"/>
        <v>0.90797009567802611</v>
      </c>
      <c r="N13" s="86">
        <f t="shared" si="2"/>
        <v>0.90174146462206162</v>
      </c>
      <c r="O13" s="14">
        <f>Analysis!F15*Default_Risk!M13</f>
        <v>94992.951116968601</v>
      </c>
      <c r="P13" s="14">
        <f>Analysis!H15*Default_Risk!N13</f>
        <v>103055.8873966578</v>
      </c>
    </row>
    <row r="14" spans="3:16" ht="15" thickBot="1" x14ac:dyDescent="0.35">
      <c r="C14" s="93" t="s">
        <v>60</v>
      </c>
      <c r="D14" s="94" t="s">
        <v>65</v>
      </c>
      <c r="F14" s="16">
        <v>10</v>
      </c>
      <c r="G14" s="17">
        <f>Analysis!E16</f>
        <v>112734.52863015613</v>
      </c>
      <c r="H14" s="17">
        <f>Analysis!G16</f>
        <v>122743.05555555555</v>
      </c>
      <c r="I14" s="85">
        <f t="shared" si="0"/>
        <v>0.37578176210052044</v>
      </c>
      <c r="J14" s="85">
        <f t="shared" si="0"/>
        <v>0.40914351851851849</v>
      </c>
      <c r="K14" s="86">
        <f t="shared" si="1"/>
        <v>1.1995453377094174</v>
      </c>
      <c r="L14" s="86">
        <f t="shared" si="1"/>
        <v>1.2690489969135803</v>
      </c>
      <c r="M14" s="86">
        <f t="shared" si="2"/>
        <v>0.89707858272752461</v>
      </c>
      <c r="N14" s="86">
        <f t="shared" si="2"/>
        <v>0.89027255633359426</v>
      </c>
      <c r="O14" s="14">
        <f>Analysis!F16*Default_Risk!M14</f>
        <v>93077.819108124721</v>
      </c>
      <c r="P14" s="14">
        <f>Analysis!H16*Default_Risk!N14</f>
        <v>100572.36749777106</v>
      </c>
    </row>
    <row r="15" spans="3:16" ht="15" thickBot="1" x14ac:dyDescent="0.35">
      <c r="F15" s="16">
        <v>11</v>
      </c>
      <c r="G15" s="17">
        <f>Analysis!E17</f>
        <v>112734.52863015613</v>
      </c>
      <c r="H15" s="17">
        <f>Analysis!G17</f>
        <v>122337.96296296296</v>
      </c>
      <c r="I15" s="85">
        <f t="shared" si="0"/>
        <v>0.37578176210052044</v>
      </c>
      <c r="J15" s="85">
        <f t="shared" si="0"/>
        <v>0.40779320987654322</v>
      </c>
      <c r="K15" s="86">
        <f t="shared" si="1"/>
        <v>1.1995453377094174</v>
      </c>
      <c r="L15" s="86">
        <f t="shared" si="1"/>
        <v>1.2662358539094649</v>
      </c>
      <c r="M15" s="86">
        <f t="shared" si="2"/>
        <v>0.88631771841282692</v>
      </c>
      <c r="N15" s="86">
        <f t="shared" si="2"/>
        <v>0.87897456138764585</v>
      </c>
      <c r="O15" s="14">
        <f>Analysis!F17*Default_Risk!M15</f>
        <v>91201.297654781752</v>
      </c>
      <c r="P15" s="14">
        <f>Analysis!H17*Default_Risk!N15</f>
        <v>98150.424917156532</v>
      </c>
    </row>
    <row r="16" spans="3:16" ht="30.6" thickBot="1" x14ac:dyDescent="0.35">
      <c r="C16" s="20" t="s">
        <v>35</v>
      </c>
      <c r="D16" s="22" t="s">
        <v>36</v>
      </c>
      <c r="F16" s="16">
        <v>12</v>
      </c>
      <c r="G16" s="17">
        <f>Analysis!E18</f>
        <v>112734.52863015613</v>
      </c>
      <c r="H16" s="17">
        <f>Analysis!G18</f>
        <v>121932.87037037036</v>
      </c>
      <c r="I16" s="85">
        <f t="shared" si="0"/>
        <v>0.37578176210052044</v>
      </c>
      <c r="J16" s="85">
        <f t="shared" si="0"/>
        <v>0.40644290123456789</v>
      </c>
      <c r="K16" s="86">
        <f t="shared" si="1"/>
        <v>1.1995453377094174</v>
      </c>
      <c r="L16" s="86">
        <f t="shared" si="1"/>
        <v>1.2634227109053497</v>
      </c>
      <c r="M16" s="86">
        <f t="shared" si="2"/>
        <v>0.8756859355443134</v>
      </c>
      <c r="N16" s="86">
        <f t="shared" si="2"/>
        <v>0.86784467034461199</v>
      </c>
      <c r="O16" s="14">
        <f>Analysis!F18*Default_Risk!M16</f>
        <v>89362.608338016536</v>
      </c>
      <c r="P16" s="14">
        <f>Analysis!H18*Default_Risk!N16</f>
        <v>95788.485543889401</v>
      </c>
    </row>
    <row r="17" spans="3:16" x14ac:dyDescent="0.3">
      <c r="C17" s="18" t="s">
        <v>37</v>
      </c>
      <c r="D17" s="84">
        <f>5412858-5345183</f>
        <v>67675</v>
      </c>
      <c r="F17" s="16">
        <v>13</v>
      </c>
      <c r="G17" s="17">
        <f>Analysis!E19</f>
        <v>112734.52863015613</v>
      </c>
      <c r="H17" s="17">
        <f>Analysis!G19</f>
        <v>121527.77777777778</v>
      </c>
      <c r="I17" s="85">
        <f t="shared" si="0"/>
        <v>0.37578176210052044</v>
      </c>
      <c r="J17" s="85">
        <f t="shared" si="0"/>
        <v>0.40509259259259262</v>
      </c>
      <c r="K17" s="86">
        <f t="shared" si="1"/>
        <v>1.1995453377094174</v>
      </c>
      <c r="L17" s="86">
        <f t="shared" si="1"/>
        <v>1.2606095679012346</v>
      </c>
      <c r="M17" s="86">
        <f t="shared" si="2"/>
        <v>0.86518168573151444</v>
      </c>
      <c r="N17" s="86">
        <f t="shared" si="2"/>
        <v>0.8568801236840965</v>
      </c>
      <c r="O17" s="14">
        <f>Analysis!F19*Default_Risk!M17</f>
        <v>87560.98843243868</v>
      </c>
      <c r="P17" s="14">
        <f>Analysis!H19*Default_Risk!N17</f>
        <v>93485.016728575356</v>
      </c>
    </row>
    <row r="18" spans="3:16" x14ac:dyDescent="0.3">
      <c r="C18" s="16" t="s">
        <v>38</v>
      </c>
      <c r="D18" s="14">
        <f>4323975-4265907</f>
        <v>58068</v>
      </c>
      <c r="F18" s="16">
        <v>14</v>
      </c>
      <c r="G18" s="17">
        <f>Analysis!E20</f>
        <v>112734.52863015613</v>
      </c>
      <c r="H18" s="17">
        <f>Analysis!G20</f>
        <v>121122.68518518518</v>
      </c>
      <c r="I18" s="85">
        <f t="shared" si="0"/>
        <v>0.37578176210052044</v>
      </c>
      <c r="J18" s="85">
        <f t="shared" si="0"/>
        <v>0.40374228395061729</v>
      </c>
      <c r="K18" s="86">
        <f t="shared" si="1"/>
        <v>1.1995453377094174</v>
      </c>
      <c r="L18" s="86">
        <f t="shared" si="1"/>
        <v>1.2577964248971194</v>
      </c>
      <c r="M18" s="86">
        <f t="shared" si="2"/>
        <v>0.85480343915760626</v>
      </c>
      <c r="N18" s="86">
        <f t="shared" si="2"/>
        <v>0.84607821085949075</v>
      </c>
      <c r="O18" s="14">
        <f>Analysis!F20*Default_Risk!M18</f>
        <v>85795.690589796766</v>
      </c>
      <c r="P18" s="14">
        <f>Analysis!H20*Default_Risk!N18</f>
        <v>91238.526159600384</v>
      </c>
    </row>
    <row r="19" spans="3:16" x14ac:dyDescent="0.3">
      <c r="C19" s="16" t="s">
        <v>39</v>
      </c>
      <c r="D19" s="14">
        <f>3531869-3482687</f>
        <v>49182</v>
      </c>
      <c r="F19" s="16">
        <v>15</v>
      </c>
      <c r="G19" s="17">
        <f>Analysis!E21</f>
        <v>112734.52863015613</v>
      </c>
      <c r="H19" s="17">
        <f>Analysis!G21</f>
        <v>120717.59259259258</v>
      </c>
      <c r="I19" s="85">
        <f t="shared" si="0"/>
        <v>0.37578176210052044</v>
      </c>
      <c r="J19" s="85">
        <f t="shared" si="0"/>
        <v>0.40239197530864196</v>
      </c>
      <c r="K19" s="86">
        <f t="shared" si="1"/>
        <v>1.1995453377094174</v>
      </c>
      <c r="L19" s="86">
        <f t="shared" si="1"/>
        <v>1.254983281893004</v>
      </c>
      <c r="M19" s="86">
        <f t="shared" si="2"/>
        <v>0.84454968435661149</v>
      </c>
      <c r="N19" s="86">
        <f t="shared" si="2"/>
        <v>0.83543626937146653</v>
      </c>
      <c r="O19" s="14">
        <f>Analysis!F21*Default_Risk!M19</f>
        <v>84065.982528963243</v>
      </c>
      <c r="P19" s="14">
        <f>Analysis!H21*Default_Risk!N19</f>
        <v>89047.56077067455</v>
      </c>
    </row>
    <row r="20" spans="3:16" x14ac:dyDescent="0.3">
      <c r="C20" s="16" t="s">
        <v>40</v>
      </c>
      <c r="D20" s="14">
        <f>2945277-2903850</f>
        <v>41427</v>
      </c>
      <c r="F20" s="16">
        <v>16</v>
      </c>
      <c r="G20" s="17">
        <f>Analysis!E22</f>
        <v>112734.52863015613</v>
      </c>
      <c r="H20" s="17">
        <f>Analysis!G22</f>
        <v>120312.5</v>
      </c>
      <c r="I20" s="85">
        <f t="shared" si="0"/>
        <v>0.37578176210052044</v>
      </c>
      <c r="J20" s="85">
        <f t="shared" si="0"/>
        <v>0.40104166666666669</v>
      </c>
      <c r="K20" s="86">
        <f t="shared" si="1"/>
        <v>1.1995453377094174</v>
      </c>
      <c r="L20" s="86">
        <f t="shared" si="1"/>
        <v>1.2521701388888888</v>
      </c>
      <c r="M20" s="86">
        <f t="shared" si="2"/>
        <v>0.83441892799327211</v>
      </c>
      <c r="N20" s="86">
        <f t="shared" si="2"/>
        <v>0.82495168385998396</v>
      </c>
      <c r="O20" s="14">
        <f>Analysis!F22*Default_Risk!M20</f>
        <v>82371.146732169378</v>
      </c>
      <c r="P20" s="14">
        <f>Analysis!H22*Default_Risk!N20</f>
        <v>86910.705678774801</v>
      </c>
    </row>
    <row r="21" spans="3:16" x14ac:dyDescent="0.3">
      <c r="C21" s="16" t="s">
        <v>41</v>
      </c>
      <c r="D21" s="14">
        <f>1513094-1494831</f>
        <v>18263</v>
      </c>
      <c r="F21" s="16">
        <v>17</v>
      </c>
      <c r="G21" s="17">
        <f>Analysis!E23</f>
        <v>112734.52863015613</v>
      </c>
      <c r="H21" s="17">
        <f>Analysis!G23</f>
        <v>119907.4074074074</v>
      </c>
      <c r="I21" s="85">
        <f t="shared" si="0"/>
        <v>0.37578176210052044</v>
      </c>
      <c r="J21" s="85">
        <f t="shared" si="0"/>
        <v>0.39969135802469136</v>
      </c>
      <c r="K21" s="86">
        <f t="shared" si="1"/>
        <v>1.1995453377094174</v>
      </c>
      <c r="L21" s="86">
        <f t="shared" si="1"/>
        <v>1.2493569958847737</v>
      </c>
      <c r="M21" s="86">
        <f t="shared" si="2"/>
        <v>0.82440969464556391</v>
      </c>
      <c r="N21" s="86">
        <f t="shared" si="2"/>
        <v>0.81462188521442824</v>
      </c>
      <c r="O21" s="14">
        <f>Analysis!F23*Default_Risk!M21</f>
        <v>80710.480147364491</v>
      </c>
      <c r="P21" s="14">
        <f>Analysis!H23*Default_Risk!N21</f>
        <v>84826.583151619358</v>
      </c>
    </row>
    <row r="22" spans="3:16" x14ac:dyDescent="0.3">
      <c r="C22" s="53"/>
      <c r="D22" s="54"/>
      <c r="F22" s="16">
        <v>18</v>
      </c>
      <c r="G22" s="17">
        <f>Analysis!E24</f>
        <v>112734.52863015613</v>
      </c>
      <c r="H22" s="17">
        <f>Analysis!G24</f>
        <v>119502.31481481482</v>
      </c>
      <c r="I22" s="85">
        <f t="shared" si="0"/>
        <v>0.37578176210052044</v>
      </c>
      <c r="J22" s="85">
        <f t="shared" si="0"/>
        <v>0.39834104938271608</v>
      </c>
      <c r="K22" s="86">
        <f t="shared" si="1"/>
        <v>1.1995453377094174</v>
      </c>
      <c r="L22" s="86">
        <f t="shared" si="1"/>
        <v>1.2465438528806585</v>
      </c>
      <c r="M22" s="86">
        <f t="shared" si="2"/>
        <v>0.81452052658981855</v>
      </c>
      <c r="N22" s="86">
        <f t="shared" si="2"/>
        <v>0.80444434970149337</v>
      </c>
      <c r="O22" s="14">
        <f>Analysis!F24*Default_Risk!M22</f>
        <v>79083.293896575749</v>
      </c>
      <c r="P22" s="14">
        <f>Analysis!H24*Default_Risk!N22</f>
        <v>82793.851603831194</v>
      </c>
    </row>
    <row r="23" spans="3:16" x14ac:dyDescent="0.3">
      <c r="C23" s="16" t="s">
        <v>42</v>
      </c>
      <c r="D23" s="14">
        <f>3215430-3153644</f>
        <v>61786</v>
      </c>
      <c r="F23" s="16">
        <v>19</v>
      </c>
      <c r="G23" s="17">
        <f>Analysis!E25</f>
        <v>112734.52863015613</v>
      </c>
      <c r="H23" s="17">
        <f>Analysis!G25</f>
        <v>119097.22222222222</v>
      </c>
      <c r="I23" s="85">
        <f t="shared" si="0"/>
        <v>0.37578176210052044</v>
      </c>
      <c r="J23" s="85">
        <f t="shared" si="0"/>
        <v>0.39699074074074076</v>
      </c>
      <c r="K23" s="86">
        <f t="shared" si="1"/>
        <v>1.1995453377094174</v>
      </c>
      <c r="L23" s="86">
        <f t="shared" si="1"/>
        <v>1.2437307098765431</v>
      </c>
      <c r="M23" s="86">
        <f t="shared" si="2"/>
        <v>0.8047499835884242</v>
      </c>
      <c r="N23" s="86">
        <f t="shared" si="2"/>
        <v>0.79441659811044363</v>
      </c>
      <c r="O23" s="14">
        <f>Analysis!F25*Default_Risk!M23</f>
        <v>77488.912990147786</v>
      </c>
      <c r="P23" s="14">
        <f>Analysis!H25*Default_Risk!N23</f>
        <v>80811.204620972858</v>
      </c>
    </row>
    <row r="24" spans="3:16" x14ac:dyDescent="0.3">
      <c r="C24" s="16" t="s">
        <v>43</v>
      </c>
      <c r="D24" s="14">
        <f>2502955-2443678</f>
        <v>59277</v>
      </c>
      <c r="F24" s="16">
        <v>20</v>
      </c>
      <c r="G24" s="17">
        <f>Analysis!E26</f>
        <v>112734.52863015613</v>
      </c>
      <c r="H24" s="17">
        <f>Analysis!G26</f>
        <v>118692.12962962962</v>
      </c>
      <c r="I24" s="85">
        <f t="shared" si="0"/>
        <v>0.37578176210052044</v>
      </c>
      <c r="J24" s="85">
        <f t="shared" si="0"/>
        <v>0.39564043209876543</v>
      </c>
      <c r="K24" s="86">
        <f t="shared" si="1"/>
        <v>1.1995453377094174</v>
      </c>
      <c r="L24" s="86">
        <f t="shared" si="1"/>
        <v>1.2409175668724279</v>
      </c>
      <c r="M24" s="86">
        <f t="shared" si="2"/>
        <v>0.79509664268007196</v>
      </c>
      <c r="N24" s="86">
        <f t="shared" si="2"/>
        <v>0.78453619491538751</v>
      </c>
      <c r="O24" s="14">
        <f>Analysis!F26*Default_Risk!M24</f>
        <v>75926.676046743247</v>
      </c>
      <c r="P24" s="14">
        <f>Analysis!H26*Default_Risk!N24</f>
        <v>78877.370010658226</v>
      </c>
    </row>
    <row r="25" spans="3:16" x14ac:dyDescent="0.3">
      <c r="C25" s="16" t="s">
        <v>44</v>
      </c>
      <c r="D25" s="14">
        <f>2024582-1969907</f>
        <v>54675</v>
      </c>
      <c r="F25" s="16">
        <v>21</v>
      </c>
      <c r="G25" s="17">
        <f>Analysis!E27</f>
        <v>112734.52863015613</v>
      </c>
      <c r="H25" s="17">
        <f>Analysis!G27</f>
        <v>118287.03703703704</v>
      </c>
      <c r="I25" s="85">
        <f t="shared" si="0"/>
        <v>0.37578176210052044</v>
      </c>
      <c r="J25" s="85">
        <f t="shared" si="0"/>
        <v>0.3942901234567901</v>
      </c>
      <c r="K25" s="86">
        <f t="shared" si="1"/>
        <v>1.1995453377094174</v>
      </c>
      <c r="L25" s="86">
        <f t="shared" si="1"/>
        <v>1.2381044238683128</v>
      </c>
      <c r="M25" s="86">
        <f t="shared" si="2"/>
        <v>0.7855590979725191</v>
      </c>
      <c r="N25" s="86">
        <f t="shared" si="2"/>
        <v>0.77480074745421001</v>
      </c>
      <c r="O25" s="14">
        <f>Analysis!F27*Default_Risk!M25</f>
        <v>74395.935018988574</v>
      </c>
      <c r="P25" s="14">
        <f>Analysis!H27*Default_Risk!N25</f>
        <v>76991.108879971012</v>
      </c>
    </row>
    <row r="26" spans="3:16" x14ac:dyDescent="0.3">
      <c r="C26" s="53"/>
      <c r="D26" s="54"/>
      <c r="F26" s="16">
        <v>22</v>
      </c>
      <c r="G26" s="17">
        <f>Analysis!E28</f>
        <v>112734.52863015613</v>
      </c>
      <c r="H26" s="17">
        <f>Analysis!G28</f>
        <v>117881.94444444444</v>
      </c>
      <c r="I26" s="85">
        <f t="shared" si="0"/>
        <v>0.37578176210052044</v>
      </c>
      <c r="J26" s="85">
        <f t="shared" si="0"/>
        <v>0.39293981481481477</v>
      </c>
      <c r="K26" s="86">
        <f t="shared" si="1"/>
        <v>1.1995453377094174</v>
      </c>
      <c r="L26" s="86">
        <f t="shared" si="1"/>
        <v>1.2352912808641976</v>
      </c>
      <c r="M26" s="86">
        <f t="shared" si="2"/>
        <v>0.77613596043783761</v>
      </c>
      <c r="N26" s="86">
        <f t="shared" si="2"/>
        <v>0.76520790512381465</v>
      </c>
      <c r="O26" s="14">
        <f>Analysis!F28*Default_Risk!M26</f>
        <v>72896.05492465086</v>
      </c>
      <c r="P26" s="14">
        <f>Analysis!H28*Default_Risk!N26</f>
        <v>75151.214738441136</v>
      </c>
    </row>
    <row r="27" spans="3:16" x14ac:dyDescent="0.3">
      <c r="C27" s="16" t="s">
        <v>45</v>
      </c>
      <c r="D27" s="14">
        <f>2322444-2279306</f>
        <v>43138</v>
      </c>
      <c r="F27" s="16">
        <v>23</v>
      </c>
      <c r="G27" s="17">
        <f>Analysis!E29</f>
        <v>112734.52863015613</v>
      </c>
      <c r="H27" s="17">
        <f>Analysis!G29</f>
        <v>117476.85185185185</v>
      </c>
      <c r="I27" s="85">
        <f t="shared" si="0"/>
        <v>0.37578176210052044</v>
      </c>
      <c r="J27" s="85">
        <f t="shared" si="0"/>
        <v>0.3915895061728395</v>
      </c>
      <c r="K27" s="86">
        <f t="shared" si="1"/>
        <v>1.1995453377094174</v>
      </c>
      <c r="L27" s="86">
        <f t="shared" si="1"/>
        <v>1.2324781378600822</v>
      </c>
      <c r="M27" s="86">
        <f t="shared" si="2"/>
        <v>0.76682585771011935</v>
      </c>
      <c r="N27" s="86">
        <f t="shared" si="2"/>
        <v>0.75575535859133658</v>
      </c>
      <c r="O27" s="14">
        <f>Analysis!F29*Default_Risk!M27</f>
        <v>71426.41358323452</v>
      </c>
      <c r="P27" s="14">
        <f>Analysis!H29*Default_Risk!N27</f>
        <v>73356.512625853153</v>
      </c>
    </row>
    <row r="28" spans="3:16" x14ac:dyDescent="0.3">
      <c r="C28" s="16" t="s">
        <v>46</v>
      </c>
      <c r="D28" s="14">
        <f>1256409-1233542</f>
        <v>22867</v>
      </c>
      <c r="F28" s="16">
        <v>24</v>
      </c>
      <c r="G28" s="17">
        <f>Analysis!E30</f>
        <v>112734.52863015613</v>
      </c>
      <c r="H28" s="17">
        <f>Analysis!G30</f>
        <v>117071.75925925926</v>
      </c>
      <c r="I28" s="85">
        <f t="shared" si="0"/>
        <v>0.37578176210052044</v>
      </c>
      <c r="J28" s="85">
        <f t="shared" si="0"/>
        <v>0.39023919753086417</v>
      </c>
      <c r="K28" s="86">
        <f t="shared" si="1"/>
        <v>1.1995453377094174</v>
      </c>
      <c r="L28" s="86">
        <f t="shared" si="1"/>
        <v>1.229664994855967</v>
      </c>
      <c r="M28" s="86">
        <f t="shared" si="2"/>
        <v>0.75762743388560738</v>
      </c>
      <c r="N28" s="86">
        <f t="shared" si="2"/>
        <v>0.74644083902099223</v>
      </c>
      <c r="O28" s="14">
        <f>Analysis!F30*Default_Risk!M28</f>
        <v>69986.40135788804</v>
      </c>
      <c r="P28" s="14">
        <f>Analysis!H30*Default_Risk!N28</f>
        <v>71605.858264180366</v>
      </c>
    </row>
    <row r="29" spans="3:16" x14ac:dyDescent="0.3">
      <c r="C29" s="16" t="s">
        <v>47</v>
      </c>
      <c r="D29" s="14">
        <f>762004-750253</f>
        <v>11751</v>
      </c>
      <c r="F29" s="16">
        <v>25</v>
      </c>
      <c r="G29" s="17">
        <f>Analysis!E31</f>
        <v>112734.52863015613</v>
      </c>
      <c r="H29" s="17">
        <f>Analysis!G31</f>
        <v>116666.66666666666</v>
      </c>
      <c r="I29" s="85">
        <f t="shared" si="0"/>
        <v>0.37578176210052044</v>
      </c>
      <c r="J29" s="85">
        <f t="shared" si="0"/>
        <v>0.38888888888888884</v>
      </c>
      <c r="K29" s="86">
        <f t="shared" si="1"/>
        <v>1.1995453377094174</v>
      </c>
      <c r="L29" s="86">
        <f t="shared" si="1"/>
        <v>1.2268518518518516</v>
      </c>
      <c r="M29" s="86">
        <f t="shared" si="2"/>
        <v>0.74853934932522503</v>
      </c>
      <c r="N29" s="86">
        <f t="shared" si="2"/>
        <v>0.73726211731624192</v>
      </c>
      <c r="O29" s="14">
        <f>Analysis!F31*Default_Risk!M29</f>
        <v>68575.420902514612</v>
      </c>
      <c r="P29" s="14">
        <f>Analysis!H31*Default_Risk!N29</f>
        <v>69898.13723296106</v>
      </c>
    </row>
    <row r="30" spans="3:16" x14ac:dyDescent="0.3">
      <c r="C30" s="16" t="s">
        <v>48</v>
      </c>
      <c r="D30" s="14">
        <f>3921</f>
        <v>3921</v>
      </c>
      <c r="F30" s="16">
        <v>26</v>
      </c>
      <c r="G30" s="17">
        <f>Analysis!E32</f>
        <v>112734.52863015613</v>
      </c>
      <c r="H30" s="17">
        <f>Analysis!G32</f>
        <v>116261.57407407407</v>
      </c>
      <c r="I30" s="85">
        <f t="shared" si="0"/>
        <v>0.37578176210052044</v>
      </c>
      <c r="J30" s="85">
        <f t="shared" si="0"/>
        <v>0.38753858024691357</v>
      </c>
      <c r="K30" s="86">
        <f t="shared" si="1"/>
        <v>1.1995453377094174</v>
      </c>
      <c r="L30" s="86">
        <f t="shared" si="1"/>
        <v>1.2240387088477367</v>
      </c>
      <c r="M30" s="86">
        <f t="shared" si="2"/>
        <v>0.73956028045947386</v>
      </c>
      <c r="N30" s="86">
        <f t="shared" si="2"/>
        <v>0.72821700337694539</v>
      </c>
      <c r="O30" s="14">
        <f>Analysis!F32*Default_Risk!M30</f>
        <v>67192.886913980721</v>
      </c>
      <c r="P30" s="14">
        <f>Analysis!H32*Default_Risk!N30</f>
        <v>68232.264167450921</v>
      </c>
    </row>
    <row r="31" spans="3:16" x14ac:dyDescent="0.3">
      <c r="F31" s="16">
        <v>27</v>
      </c>
      <c r="G31" s="17">
        <f>Analysis!E33</f>
        <v>112734.52863015613</v>
      </c>
      <c r="H31" s="17">
        <f>Analysis!G33</f>
        <v>115856.48148148147</v>
      </c>
      <c r="I31" s="85">
        <f t="shared" si="0"/>
        <v>0.37578176210052044</v>
      </c>
      <c r="J31" s="85">
        <f t="shared" si="0"/>
        <v>0.38618827160493824</v>
      </c>
      <c r="K31" s="86">
        <f t="shared" si="1"/>
        <v>1.1995453377094174</v>
      </c>
      <c r="L31" s="86">
        <f t="shared" si="1"/>
        <v>1.2212255658436213</v>
      </c>
      <c r="M31" s="86">
        <f t="shared" si="2"/>
        <v>0.7306889195956715</v>
      </c>
      <c r="N31" s="86">
        <f t="shared" si="2"/>
        <v>0.71930334537120055</v>
      </c>
      <c r="O31" s="14">
        <f>Analysis!F33*Default_Risk!M31</f>
        <v>65838.225889320689</v>
      </c>
      <c r="P31" s="14">
        <f>Analysis!H33*Default_Risk!N31</f>
        <v>66607.181978906694</v>
      </c>
    </row>
    <row r="32" spans="3:16" x14ac:dyDescent="0.3">
      <c r="F32" s="16">
        <v>28</v>
      </c>
      <c r="G32" s="17">
        <f>Analysis!E34</f>
        <v>112734.52863015613</v>
      </c>
      <c r="H32" s="17">
        <f>Analysis!G34</f>
        <v>115451.38888888889</v>
      </c>
      <c r="I32" s="85">
        <f t="shared" si="0"/>
        <v>0.37578176210052044</v>
      </c>
      <c r="J32" s="85">
        <f t="shared" si="0"/>
        <v>0.38483796296296297</v>
      </c>
      <c r="K32" s="86">
        <f t="shared" si="1"/>
        <v>1.1995453377094174</v>
      </c>
      <c r="L32" s="86">
        <f t="shared" si="1"/>
        <v>1.2184124228395063</v>
      </c>
      <c r="M32" s="86">
        <f t="shared" si="2"/>
        <v>0.72192397472750236</v>
      </c>
      <c r="N32" s="86">
        <f t="shared" si="2"/>
        <v>0.71051902902155906</v>
      </c>
      <c r="O32" s="14">
        <f>Analysis!F34*Default_Risk!M32</f>
        <v>64510.875887836119</v>
      </c>
      <c r="P32" s="14">
        <f>Analysis!H34*Default_Risk!N32</f>
        <v>65021.861096373934</v>
      </c>
    </row>
    <row r="33" spans="6:16" x14ac:dyDescent="0.3">
      <c r="F33" s="16">
        <v>29</v>
      </c>
      <c r="G33" s="17">
        <f>Analysis!E35</f>
        <v>112734.52863015613</v>
      </c>
      <c r="H33" s="17">
        <f>Analysis!G35</f>
        <v>115046.29629629629</v>
      </c>
      <c r="I33" s="85">
        <f t="shared" si="0"/>
        <v>0.37578176210052044</v>
      </c>
      <c r="J33" s="85">
        <f t="shared" si="0"/>
        <v>0.38348765432098764</v>
      </c>
      <c r="K33" s="86">
        <f t="shared" si="1"/>
        <v>1.1995453377094174</v>
      </c>
      <c r="L33" s="86">
        <f t="shared" si="1"/>
        <v>1.215599279835391</v>
      </c>
      <c r="M33" s="86">
        <f t="shared" si="2"/>
        <v>0.71326416934685211</v>
      </c>
      <c r="N33" s="86">
        <f t="shared" si="2"/>
        <v>0.70186197690532171</v>
      </c>
      <c r="O33" s="14">
        <f>Analysis!F35*Default_Risk!M33</f>
        <v>63210.286297991493</v>
      </c>
      <c r="P33" s="14">
        <f>Analysis!H35*Default_Risk!N33</f>
        <v>63475.29872937053</v>
      </c>
    </row>
    <row r="34" spans="6:16" x14ac:dyDescent="0.3">
      <c r="F34" s="16">
        <v>30</v>
      </c>
      <c r="G34" s="17">
        <f>Analysis!E36</f>
        <v>112734.52863015613</v>
      </c>
      <c r="H34" s="17">
        <f>Analysis!G36</f>
        <v>114641.20370370371</v>
      </c>
      <c r="I34" s="85">
        <f t="shared" si="0"/>
        <v>0.37578176210052044</v>
      </c>
      <c r="J34" s="85">
        <f t="shared" si="0"/>
        <v>0.38213734567901236</v>
      </c>
      <c r="K34" s="86">
        <f t="shared" si="1"/>
        <v>1.1995453377094174</v>
      </c>
      <c r="L34" s="86">
        <f t="shared" si="1"/>
        <v>1.2127861368312758</v>
      </c>
      <c r="M34" s="86">
        <f t="shared" si="2"/>
        <v>0.70470824225790019</v>
      </c>
      <c r="N34" s="86">
        <f t="shared" si="2"/>
        <v>0.69333014776862223</v>
      </c>
      <c r="O34" s="14">
        <f>Analysis!F36*Default_Risk!M34</f>
        <v>61935.917609009412</v>
      </c>
      <c r="P34" s="14">
        <f>Analysis!H36*Default_Risk!N34</f>
        <v>61966.518150874588</v>
      </c>
    </row>
    <row r="35" spans="6:16" x14ac:dyDescent="0.3">
      <c r="F35" s="16">
        <v>31</v>
      </c>
      <c r="G35" s="17">
        <f>Analysis!E37</f>
        <v>112734.52863015613</v>
      </c>
      <c r="H35" s="17">
        <f>Analysis!G37</f>
        <v>114236.11111111111</v>
      </c>
      <c r="I35" s="85">
        <f t="shared" si="0"/>
        <v>0.37578176210052044</v>
      </c>
      <c r="J35" s="85">
        <f t="shared" si="0"/>
        <v>0.38078703703703703</v>
      </c>
      <c r="K35" s="86">
        <f t="shared" si="1"/>
        <v>1.1995453377094174</v>
      </c>
      <c r="L35" s="86">
        <f t="shared" si="1"/>
        <v>1.2099729938271604</v>
      </c>
      <c r="M35" s="86">
        <f t="shared" si="2"/>
        <v>0.69625494739344151</v>
      </c>
      <c r="N35" s="86">
        <f t="shared" si="2"/>
        <v>0.68492153585401261</v>
      </c>
      <c r="O35" s="14">
        <f>Analysis!F37*Default_Risk!M35</f>
        <v>60687.241187070744</v>
      </c>
      <c r="P35" s="14">
        <f>Analysis!H37*Default_Risk!N35</f>
        <v>60494.568000043379</v>
      </c>
    </row>
    <row r="36" spans="6:16" x14ac:dyDescent="0.3">
      <c r="F36" s="16">
        <v>32</v>
      </c>
      <c r="G36" s="17">
        <f>Analysis!E38</f>
        <v>112734.52863015613</v>
      </c>
      <c r="H36" s="17">
        <f>Analysis!G38</f>
        <v>113831.01851851851</v>
      </c>
      <c r="I36" s="85">
        <f t="shared" si="0"/>
        <v>0.37578176210052044</v>
      </c>
      <c r="J36" s="85">
        <f t="shared" si="0"/>
        <v>0.37943672839506171</v>
      </c>
      <c r="K36" s="86">
        <f t="shared" si="1"/>
        <v>1.1995453377094174</v>
      </c>
      <c r="L36" s="86">
        <f t="shared" si="1"/>
        <v>1.2071598508230452</v>
      </c>
      <c r="M36" s="86">
        <f t="shared" si="2"/>
        <v>0.68790305363341231</v>
      </c>
      <c r="N36" s="86">
        <f t="shared" si="2"/>
        <v>0.67663417024127281</v>
      </c>
      <c r="O36" s="14">
        <f>Analysis!F38*Default_Risk!M36</f>
        <v>59463.739056026541</v>
      </c>
      <c r="P36" s="14">
        <f>Analysis!H38*Default_Risk!N36</f>
        <v>59058.521604105619</v>
      </c>
    </row>
    <row r="37" spans="6:16" x14ac:dyDescent="0.3">
      <c r="F37" s="16">
        <v>33</v>
      </c>
      <c r="G37" s="17">
        <f>Analysis!E39</f>
        <v>112734.52863015613</v>
      </c>
      <c r="H37" s="17">
        <f>Analysis!G39</f>
        <v>113425.92592592593</v>
      </c>
      <c r="I37" s="85">
        <f t="shared" si="0"/>
        <v>0.37578176210052044</v>
      </c>
      <c r="J37" s="85">
        <f t="shared" si="0"/>
        <v>0.37808641975308643</v>
      </c>
      <c r="K37" s="86">
        <f t="shared" si="1"/>
        <v>1.1995453377094174</v>
      </c>
      <c r="L37" s="86">
        <f t="shared" si="1"/>
        <v>1.2043467078189298</v>
      </c>
      <c r="M37" s="86">
        <f t="shared" si="2"/>
        <v>0.67965134462559196</v>
      </c>
      <c r="N37" s="86">
        <f t="shared" si="2"/>
        <v>0.66846611420117052</v>
      </c>
      <c r="O37" s="14">
        <f>Analysis!F39*Default_Risk!M37</f>
        <v>58264.903682531185</v>
      </c>
      <c r="P37" s="14">
        <f>Analysis!H39*Default_Risk!N37</f>
        <v>57657.476318886402</v>
      </c>
    </row>
    <row r="38" spans="6:16" x14ac:dyDescent="0.3">
      <c r="F38" s="16">
        <v>34</v>
      </c>
      <c r="G38" s="17">
        <f>Analysis!E40</f>
        <v>112734.52863015613</v>
      </c>
      <c r="H38" s="17">
        <f>Analysis!G40</f>
        <v>113020.83333333333</v>
      </c>
      <c r="I38" s="85">
        <f t="shared" si="0"/>
        <v>0.37578176210052044</v>
      </c>
      <c r="J38" s="85">
        <f t="shared" si="0"/>
        <v>0.3767361111111111</v>
      </c>
      <c r="K38" s="86">
        <f t="shared" si="1"/>
        <v>1.1995453377094174</v>
      </c>
      <c r="L38" s="86">
        <f t="shared" si="1"/>
        <v>1.2015335648148147</v>
      </c>
      <c r="M38" s="86">
        <f t="shared" si="2"/>
        <v>0.67149861860845628</v>
      </c>
      <c r="N38" s="86">
        <f t="shared" si="2"/>
        <v>0.66041546456190359</v>
      </c>
      <c r="O38" s="14">
        <f>Analysis!F40*Default_Risk!M38</f>
        <v>57090.237765507271</v>
      </c>
      <c r="P38" s="14">
        <f>Analysis!H40*Default_Risk!N38</f>
        <v>56290.552887438942</v>
      </c>
    </row>
    <row r="39" spans="6:16" x14ac:dyDescent="0.3">
      <c r="F39" s="16">
        <v>35</v>
      </c>
      <c r="G39" s="17">
        <f>Analysis!E41</f>
        <v>112734.52863015613</v>
      </c>
      <c r="H39" s="17">
        <f>Analysis!G41</f>
        <v>112615.74074074074</v>
      </c>
      <c r="I39" s="85">
        <f t="shared" si="0"/>
        <v>0.37578176210052044</v>
      </c>
      <c r="J39" s="85">
        <f t="shared" si="0"/>
        <v>0.37538580246913583</v>
      </c>
      <c r="K39" s="86">
        <f t="shared" si="1"/>
        <v>1.1995453377094174</v>
      </c>
      <c r="L39" s="86">
        <f t="shared" si="1"/>
        <v>1.1987204218106997</v>
      </c>
      <c r="M39" s="86">
        <f t="shared" si="2"/>
        <v>0.6634436882361554</v>
      </c>
      <c r="N39" s="86">
        <f t="shared" si="2"/>
        <v>0.65248035108796465</v>
      </c>
      <c r="O39" s="14">
        <f>Analysis!F41*Default_Risk!M39</f>
        <v>55939.254029855125</v>
      </c>
      <c r="P39" s="14">
        <f>Analysis!H41*Default_Risk!N39</f>
        <v>54956.894816273278</v>
      </c>
    </row>
    <row r="40" spans="6:16" x14ac:dyDescent="0.3">
      <c r="F40" s="16">
        <v>36</v>
      </c>
      <c r="G40" s="17">
        <f>Analysis!E42</f>
        <v>112734.52863015613</v>
      </c>
      <c r="H40" s="17">
        <f>Analysis!G42</f>
        <v>112210.64814814815</v>
      </c>
      <c r="I40" s="85">
        <f t="shared" si="0"/>
        <v>0.37578176210052044</v>
      </c>
      <c r="J40" s="85">
        <f t="shared" si="0"/>
        <v>0.3740354938271605</v>
      </c>
      <c r="K40" s="86">
        <f t="shared" si="1"/>
        <v>1.1995453377094174</v>
      </c>
      <c r="L40" s="86">
        <f t="shared" si="1"/>
        <v>1.1959072788065845</v>
      </c>
      <c r="M40" s="86">
        <f t="shared" si="2"/>
        <v>0.65548538040559123</v>
      </c>
      <c r="N40" s="86">
        <f t="shared" si="2"/>
        <v>0.64465893587117107</v>
      </c>
      <c r="O40" s="14">
        <f>Analysis!F42*Default_Risk!M40</f>
        <v>54811.475024321233</v>
      </c>
      <c r="P40" s="14">
        <f>Analysis!H42*Default_Risk!N40</f>
        <v>53655.66776868602</v>
      </c>
    </row>
    <row r="41" spans="6:16" x14ac:dyDescent="0.3">
      <c r="F41" s="16">
        <v>37</v>
      </c>
      <c r="G41" s="17">
        <f>Analysis!E43</f>
        <v>112734.52863015613</v>
      </c>
      <c r="H41" s="17">
        <f>Analysis!G43</f>
        <v>111805.55555555555</v>
      </c>
      <c r="I41" s="85">
        <f t="shared" si="0"/>
        <v>0.37578176210052044</v>
      </c>
      <c r="J41" s="85">
        <f t="shared" si="0"/>
        <v>0.37268518518518517</v>
      </c>
      <c r="K41" s="86">
        <f t="shared" si="1"/>
        <v>1.1995453377094174</v>
      </c>
      <c r="L41" s="86">
        <f t="shared" si="1"/>
        <v>1.1930941358024689</v>
      </c>
      <c r="M41" s="86">
        <f t="shared" si="2"/>
        <v>0.64762253608556908</v>
      </c>
      <c r="N41" s="86">
        <f t="shared" si="2"/>
        <v>0.63694941273361061</v>
      </c>
      <c r="O41" s="14">
        <f>Analysis!F43*Default_Risk!M41</f>
        <v>53706.432923441876</v>
      </c>
      <c r="P41" s="14">
        <f>Analysis!H43*Default_Risk!N41</f>
        <v>52386.058974710337</v>
      </c>
    </row>
    <row r="42" spans="6:16" x14ac:dyDescent="0.3">
      <c r="F42" s="16">
        <v>38</v>
      </c>
      <c r="G42" s="17">
        <f>Analysis!E44</f>
        <v>112734.52863015613</v>
      </c>
      <c r="H42" s="17">
        <f>Analysis!G44</f>
        <v>111400.46296296296</v>
      </c>
      <c r="I42" s="85">
        <f t="shared" si="0"/>
        <v>0.37578176210052044</v>
      </c>
      <c r="J42" s="85">
        <f t="shared" si="0"/>
        <v>0.3713348765432099</v>
      </c>
      <c r="K42" s="86">
        <f t="shared" si="1"/>
        <v>1.1995453377094174</v>
      </c>
      <c r="L42" s="86">
        <f t="shared" si="1"/>
        <v>1.190280992798354</v>
      </c>
      <c r="M42" s="86">
        <f t="shared" si="2"/>
        <v>0.63985401014799914</v>
      </c>
      <c r="N42" s="86">
        <f t="shared" si="2"/>
        <v>0.62935000664225771</v>
      </c>
      <c r="O42" s="14">
        <f>Analysis!F44*Default_Risk!M42</f>
        <v>52623.669333479687</v>
      </c>
      <c r="P42" s="14">
        <f>Analysis!H44*Default_Risk!N42</f>
        <v>51147.276657218426</v>
      </c>
    </row>
    <row r="43" spans="6:16" x14ac:dyDescent="0.3">
      <c r="F43" s="16">
        <v>39</v>
      </c>
      <c r="G43" s="17">
        <f>Analysis!E45</f>
        <v>112734.52863015613</v>
      </c>
      <c r="H43" s="17">
        <f>Analysis!G45</f>
        <v>110995.37037037036</v>
      </c>
      <c r="I43" s="85">
        <f t="shared" si="0"/>
        <v>0.37578176210052044</v>
      </c>
      <c r="J43" s="85">
        <f t="shared" si="0"/>
        <v>0.36998456790123457</v>
      </c>
      <c r="K43" s="86">
        <f t="shared" si="1"/>
        <v>1.1995453377094174</v>
      </c>
      <c r="L43" s="86">
        <f t="shared" si="1"/>
        <v>1.1874678497942386</v>
      </c>
      <c r="M43" s="86">
        <f t="shared" si="2"/>
        <v>0.63217867120112203</v>
      </c>
      <c r="N43" s="86">
        <f t="shared" si="2"/>
        <v>0.6218589731350197</v>
      </c>
      <c r="O43" s="14">
        <f>Analysis!F45*Default_Risk!M43</f>
        <v>51562.735102272716</v>
      </c>
      <c r="P43" s="14">
        <f>Analysis!H45*Default_Risk!N43</f>
        <v>49938.549473722851</v>
      </c>
    </row>
    <row r="44" spans="6:16" x14ac:dyDescent="0.3">
      <c r="F44" s="16">
        <v>40</v>
      </c>
      <c r="G44" s="17">
        <f>Analysis!E46</f>
        <v>112734.52863015613</v>
      </c>
      <c r="H44" s="17">
        <f>Analysis!G46</f>
        <v>110590.27777777778</v>
      </c>
      <c r="I44" s="85">
        <f t="shared" si="0"/>
        <v>0.37578176210052044</v>
      </c>
      <c r="J44" s="85">
        <f t="shared" si="0"/>
        <v>0.36863425925925924</v>
      </c>
      <c r="K44" s="86">
        <f t="shared" si="1"/>
        <v>1.1995453377094174</v>
      </c>
      <c r="L44" s="86">
        <f t="shared" si="1"/>
        <v>1.1846547067901234</v>
      </c>
      <c r="M44" s="86">
        <f t="shared" si="2"/>
        <v>0.62459540142473557</v>
      </c>
      <c r="N44" s="86">
        <f t="shared" si="2"/>
        <v>0.61447459775798074</v>
      </c>
      <c r="O44" s="14">
        <f>Analysis!F46*Default_Risk!M44</f>
        <v>50523.190132916956</v>
      </c>
      <c r="P44" s="14">
        <f>Analysis!H46*Default_Risk!N44</f>
        <v>48759.125973435905</v>
      </c>
    </row>
    <row r="45" spans="6:16" x14ac:dyDescent="0.3">
      <c r="F45" s="16">
        <v>41</v>
      </c>
      <c r="G45" s="17">
        <f>Analysis!E47</f>
        <v>112734.52863015613</v>
      </c>
      <c r="H45" s="17">
        <f>Analysis!G47</f>
        <v>110185.18518518518</v>
      </c>
      <c r="I45" s="85">
        <f t="shared" si="0"/>
        <v>0.37578176210052044</v>
      </c>
      <c r="J45" s="85">
        <f t="shared" si="0"/>
        <v>0.36728395061728392</v>
      </c>
      <c r="K45" s="86">
        <f t="shared" si="1"/>
        <v>1.1995453377094174</v>
      </c>
      <c r="L45" s="86">
        <f t="shared" si="1"/>
        <v>1.181841563786008</v>
      </c>
      <c r="M45" s="86">
        <f t="shared" si="2"/>
        <v>0.61710309640739769</v>
      </c>
      <c r="N45" s="86">
        <f t="shared" si="2"/>
        <v>0.60719519551361112</v>
      </c>
      <c r="O45" s="14">
        <f>Analysis!F47*Default_Risk!M45</f>
        <v>49504.603201205449</v>
      </c>
      <c r="P45" s="14">
        <f>Analysis!H47*Default_Risk!N45</f>
        <v>47608.27406915887</v>
      </c>
    </row>
    <row r="46" spans="6:16" x14ac:dyDescent="0.3">
      <c r="F46" s="16">
        <v>42</v>
      </c>
      <c r="G46" s="17">
        <f>Analysis!E48</f>
        <v>112734.52863015613</v>
      </c>
      <c r="H46" s="17">
        <f>Analysis!G48</f>
        <v>109780.09259259258</v>
      </c>
      <c r="I46" s="85">
        <f t="shared" si="0"/>
        <v>0.37578176210052044</v>
      </c>
      <c r="J46" s="85">
        <f t="shared" si="0"/>
        <v>0.36593364197530859</v>
      </c>
      <c r="K46" s="86">
        <f t="shared" si="1"/>
        <v>1.1995453377094174</v>
      </c>
      <c r="L46" s="86">
        <f t="shared" si="1"/>
        <v>1.1790284207818926</v>
      </c>
      <c r="M46" s="86">
        <f t="shared" si="2"/>
        <v>0.60970066498558229</v>
      </c>
      <c r="N46" s="86">
        <f t="shared" si="2"/>
        <v>0.60001911031971955</v>
      </c>
      <c r="O46" s="14">
        <f>Analysis!F48*Default_Risk!M46</f>
        <v>48506.551776747598</v>
      </c>
      <c r="P46" s="14">
        <f>Analysis!H48*Default_Risk!N46</f>
        <v>46485.280523585338</v>
      </c>
    </row>
    <row r="47" spans="6:16" x14ac:dyDescent="0.3">
      <c r="F47" s="16">
        <v>43</v>
      </c>
      <c r="G47" s="17">
        <f>Analysis!E49</f>
        <v>112734.52863015613</v>
      </c>
      <c r="H47" s="17">
        <f>Analysis!G49</f>
        <v>109375</v>
      </c>
      <c r="I47" s="85">
        <f t="shared" si="0"/>
        <v>0.37578176210052044</v>
      </c>
      <c r="J47" s="85">
        <f t="shared" si="0"/>
        <v>0.36458333333333331</v>
      </c>
      <c r="K47" s="86">
        <f t="shared" si="1"/>
        <v>1.1995453377094174</v>
      </c>
      <c r="L47" s="86">
        <f t="shared" si="1"/>
        <v>1.1762152777777777</v>
      </c>
      <c r="M47" s="86">
        <f t="shared" si="2"/>
        <v>0.60238702908476438</v>
      </c>
      <c r="N47" s="86">
        <f t="shared" si="2"/>
        <v>0.59294471447892738</v>
      </c>
      <c r="O47" s="14">
        <f>Analysis!F49*Default_Risk!M47</f>
        <v>47528.621847695234</v>
      </c>
      <c r="P47" s="14">
        <f>Analysis!H49*Default_Risk!N47</f>
        <v>45389.450449614822</v>
      </c>
    </row>
    <row r="48" spans="6:16" x14ac:dyDescent="0.3">
      <c r="F48" s="16">
        <v>44</v>
      </c>
      <c r="G48" s="17">
        <f>Analysis!E50</f>
        <v>112734.52863015613</v>
      </c>
      <c r="H48" s="17">
        <f>Analysis!G50</f>
        <v>108969.9074074074</v>
      </c>
      <c r="I48" s="85">
        <f t="shared" si="0"/>
        <v>0.37578176210052044</v>
      </c>
      <c r="J48" s="85">
        <f t="shared" si="0"/>
        <v>0.36323302469135799</v>
      </c>
      <c r="K48" s="86">
        <f t="shared" si="1"/>
        <v>1.1995453377094174</v>
      </c>
      <c r="L48" s="86">
        <f t="shared" si="1"/>
        <v>1.1734021347736625</v>
      </c>
      <c r="M48" s="86">
        <f t="shared" si="2"/>
        <v>0.5951611235624118</v>
      </c>
      <c r="N48" s="86">
        <f t="shared" si="2"/>
        <v>0.58597040815845036</v>
      </c>
      <c r="O48" s="14">
        <f>Analysis!F50*Default_Risk!M48</f>
        <v>46570.407749001977</v>
      </c>
      <c r="P48" s="14">
        <f>Analysis!H50*Default_Risk!N48</f>
        <v>44320.10682428423</v>
      </c>
    </row>
    <row r="49" spans="6:16" x14ac:dyDescent="0.3">
      <c r="F49" s="16">
        <v>45</v>
      </c>
      <c r="G49" s="17">
        <f>Analysis!E51</f>
        <v>112734.52863015613</v>
      </c>
      <c r="H49" s="17">
        <f>Analysis!G51</f>
        <v>108564.8148148148</v>
      </c>
      <c r="I49" s="85">
        <f t="shared" si="0"/>
        <v>0.37578176210052044</v>
      </c>
      <c r="J49" s="85">
        <f t="shared" si="0"/>
        <v>0.36188271604938266</v>
      </c>
      <c r="K49" s="86">
        <f t="shared" si="1"/>
        <v>1.1995453377094174</v>
      </c>
      <c r="L49" s="86">
        <f t="shared" si="1"/>
        <v>1.1705889917695473</v>
      </c>
      <c r="M49" s="86">
        <f t="shared" si="2"/>
        <v>0.58802189605285993</v>
      </c>
      <c r="N49" s="86">
        <f t="shared" si="2"/>
        <v>0.57909461887997715</v>
      </c>
      <c r="O49" s="14">
        <f>Analysis!F51*Default_Risk!M49</f>
        <v>45631.511994145359</v>
      </c>
      <c r="P49" s="14">
        <f>Analysis!H51*Default_Risk!N49</f>
        <v>43276.590015936577</v>
      </c>
    </row>
    <row r="50" spans="6:16" x14ac:dyDescent="0.3">
      <c r="F50" s="16">
        <v>46</v>
      </c>
      <c r="G50" s="17">
        <f>Analysis!E52</f>
        <v>112734.52863015613</v>
      </c>
      <c r="H50" s="17">
        <f>Analysis!G52</f>
        <v>108159.72222222222</v>
      </c>
      <c r="I50" s="85">
        <f t="shared" si="0"/>
        <v>0.37578176210052044</v>
      </c>
      <c r="J50" s="85">
        <f t="shared" si="0"/>
        <v>0.36053240740740738</v>
      </c>
      <c r="K50" s="86">
        <f t="shared" si="1"/>
        <v>1.1995453377094174</v>
      </c>
      <c r="L50" s="86">
        <f t="shared" si="1"/>
        <v>1.1677758487654322</v>
      </c>
      <c r="M50" s="86">
        <f t="shared" si="2"/>
        <v>0.58096830681404732</v>
      </c>
      <c r="N50" s="86">
        <f t="shared" si="2"/>
        <v>0.57231580101943835</v>
      </c>
      <c r="O50" s="14">
        <f>Analysis!F52*Default_Risk!M50</f>
        <v>44711.545110241255</v>
      </c>
      <c r="P50" s="14">
        <f>Analysis!H52*Default_Risk!N50</f>
        <v>42258.257324256359</v>
      </c>
    </row>
    <row r="51" spans="6:16" x14ac:dyDescent="0.3">
      <c r="F51" s="16">
        <v>47</v>
      </c>
      <c r="G51" s="17">
        <f>Analysis!E53</f>
        <v>112734.52863015613</v>
      </c>
      <c r="H51" s="17">
        <f>Analysis!G53</f>
        <v>107754.62962962964</v>
      </c>
      <c r="I51" s="85">
        <f t="shared" si="0"/>
        <v>0.37578176210052044</v>
      </c>
      <c r="J51" s="85">
        <f t="shared" si="0"/>
        <v>0.35918209876543211</v>
      </c>
      <c r="K51" s="86">
        <f t="shared" si="1"/>
        <v>1.1995453377094174</v>
      </c>
      <c r="L51" s="86">
        <f t="shared" si="1"/>
        <v>1.1649627057613168</v>
      </c>
      <c r="M51" s="86">
        <f t="shared" si="2"/>
        <v>0.57399932857609004</v>
      </c>
      <c r="N51" s="86">
        <f t="shared" si="2"/>
        <v>0.5656324353164649</v>
      </c>
      <c r="O51" s="14">
        <f>Analysis!F53*Default_Risk!M51</f>
        <v>43810.125476482826</v>
      </c>
      <c r="P51" s="14">
        <f>Analysis!H53*Default_Risk!N51</f>
        <v>41264.482532812588</v>
      </c>
    </row>
    <row r="52" spans="6:16" x14ac:dyDescent="0.3">
      <c r="F52" s="16">
        <v>48</v>
      </c>
      <c r="G52" s="17">
        <f>Analysis!E54</f>
        <v>112734.52863015613</v>
      </c>
      <c r="H52" s="17">
        <f>Analysis!G54</f>
        <v>107349.53703703704</v>
      </c>
      <c r="I52" s="85">
        <f t="shared" si="0"/>
        <v>0.37578176210052044</v>
      </c>
      <c r="J52" s="85">
        <f t="shared" si="0"/>
        <v>0.35783179012345678</v>
      </c>
      <c r="K52" s="86">
        <f t="shared" si="1"/>
        <v>1.1995453377094174</v>
      </c>
      <c r="L52" s="86">
        <f t="shared" si="1"/>
        <v>1.1621495627572016</v>
      </c>
      <c r="M52" s="86">
        <f t="shared" si="2"/>
        <v>0.56711394639167223</v>
      </c>
      <c r="N52" s="86">
        <f t="shared" si="2"/>
        <v>0.55904302839333853</v>
      </c>
      <c r="O52" s="14">
        <f>Analysis!F54*Default_Risk!M52</f>
        <v>42926.879165836406</v>
      </c>
      <c r="P52" s="14">
        <f>Analysis!H54*Default_Risk!N52</f>
        <v>40294.655473760067</v>
      </c>
    </row>
    <row r="53" spans="6:16" x14ac:dyDescent="0.3">
      <c r="F53" s="16">
        <v>49</v>
      </c>
      <c r="G53" s="17">
        <f>Analysis!E55</f>
        <v>112734.52863015613</v>
      </c>
      <c r="H53" s="17">
        <f>Analysis!G55</f>
        <v>106944.44444444444</v>
      </c>
      <c r="I53" s="85">
        <f t="shared" si="0"/>
        <v>0.37578176210052044</v>
      </c>
      <c r="J53" s="85">
        <f t="shared" si="0"/>
        <v>0.35648148148148145</v>
      </c>
      <c r="K53" s="86">
        <f t="shared" si="1"/>
        <v>1.1995453377094174</v>
      </c>
      <c r="L53" s="86">
        <f t="shared" si="1"/>
        <v>1.1593364197530864</v>
      </c>
      <c r="M53" s="86">
        <f t="shared" si="2"/>
        <v>0.56031115748823102</v>
      </c>
      <c r="N53" s="86">
        <f t="shared" si="2"/>
        <v>0.5525461122832408</v>
      </c>
      <c r="O53" s="14">
        <f>Analysis!F55*Default_Risk!M53</f>
        <v>42061.439789929049</v>
      </c>
      <c r="P53" s="14">
        <f>Analysis!H55*Default_Risk!N53</f>
        <v>39348.181604359823</v>
      </c>
    </row>
    <row r="54" spans="6:16" x14ac:dyDescent="0.3">
      <c r="F54" s="16">
        <v>50</v>
      </c>
      <c r="G54" s="17">
        <f>Analysis!E56</f>
        <v>112734.52863015613</v>
      </c>
      <c r="H54" s="17">
        <f>Analysis!G56</f>
        <v>106539.35185185185</v>
      </c>
      <c r="I54" s="85">
        <f t="shared" si="0"/>
        <v>0.37578176210052044</v>
      </c>
      <c r="J54" s="85">
        <f t="shared" si="0"/>
        <v>0.35513117283950618</v>
      </c>
      <c r="K54" s="86">
        <f t="shared" si="1"/>
        <v>1.1995453377094174</v>
      </c>
      <c r="L54" s="86">
        <f t="shared" si="1"/>
        <v>1.1565232767489713</v>
      </c>
      <c r="M54" s="86">
        <f t="shared" si="2"/>
        <v>0.55358997112191521</v>
      </c>
      <c r="N54" s="86">
        <f t="shared" si="2"/>
        <v>0.54614024396761141</v>
      </c>
      <c r="O54" s="14">
        <f>Analysis!F56*Default_Risk!M54</f>
        <v>41213.448347063299</v>
      </c>
      <c r="P54" s="14">
        <f>Analysis!H56*Default_Risk!N54</f>
        <v>38424.481594989113</v>
      </c>
    </row>
    <row r="55" spans="6:16" x14ac:dyDescent="0.3">
      <c r="F55" s="16">
        <v>51</v>
      </c>
      <c r="G55" s="17">
        <f>Analysis!E57</f>
        <v>112734.52863015613</v>
      </c>
      <c r="H55" s="17">
        <f>Analysis!G57</f>
        <v>106134.25925925926</v>
      </c>
      <c r="I55" s="85">
        <f t="shared" si="0"/>
        <v>0.37578176210052044</v>
      </c>
      <c r="J55" s="85">
        <f t="shared" si="0"/>
        <v>0.35378086419753085</v>
      </c>
      <c r="K55" s="86">
        <f t="shared" si="1"/>
        <v>1.1995453377094174</v>
      </c>
      <c r="L55" s="86">
        <f t="shared" si="1"/>
        <v>1.1537101337448559</v>
      </c>
      <c r="M55" s="86">
        <f t="shared" si="2"/>
        <v>0.54694940843329531</v>
      </c>
      <c r="N55" s="86">
        <f t="shared" si="2"/>
        <v>0.53982400492243243</v>
      </c>
      <c r="O55" s="14">
        <f>Analysis!F57*Default_Risk!M55</f>
        <v>40382.553073296018</v>
      </c>
      <c r="P55" s="14">
        <f>Analysis!H57*Default_Risk!N55</f>
        <v>37522.990928321189</v>
      </c>
    </row>
    <row r="56" spans="6:16" x14ac:dyDescent="0.3">
      <c r="F56" s="16">
        <v>52</v>
      </c>
      <c r="G56" s="17">
        <f>Analysis!E58</f>
        <v>112734.52863015613</v>
      </c>
      <c r="H56" s="17">
        <f>Analysis!G58</f>
        <v>105729.16666666667</v>
      </c>
      <c r="I56" s="85">
        <f t="shared" si="0"/>
        <v>0.37578176210052044</v>
      </c>
      <c r="J56" s="85">
        <f t="shared" si="0"/>
        <v>0.35243055555555558</v>
      </c>
      <c r="K56" s="86">
        <f t="shared" si="1"/>
        <v>1.1995453377094174</v>
      </c>
      <c r="L56" s="86">
        <f t="shared" si="1"/>
        <v>1.1508969907407407</v>
      </c>
      <c r="M56" s="86">
        <f t="shared" si="2"/>
        <v>0.54038850230480451</v>
      </c>
      <c r="N56" s="86">
        <f t="shared" si="2"/>
        <v>0.53359600067325497</v>
      </c>
      <c r="O56" s="14">
        <f>Analysis!F58*Default_Risk!M56</f>
        <v>39568.409296519611</v>
      </c>
      <c r="P56" s="14">
        <f>Analysis!H58*Default_Risk!N56</f>
        <v>36643.159509363635</v>
      </c>
    </row>
    <row r="57" spans="6:16" x14ac:dyDescent="0.3">
      <c r="F57" s="16">
        <v>53</v>
      </c>
      <c r="G57" s="17">
        <f>Analysis!E59</f>
        <v>112734.52863015613</v>
      </c>
      <c r="H57" s="17">
        <f>Analysis!G59</f>
        <v>105324.07407407407</v>
      </c>
      <c r="I57" s="85">
        <f t="shared" si="0"/>
        <v>0.37578176210052044</v>
      </c>
      <c r="J57" s="85">
        <f t="shared" si="0"/>
        <v>0.35108024691358025</v>
      </c>
      <c r="K57" s="86">
        <f t="shared" si="1"/>
        <v>1.1995453377094174</v>
      </c>
      <c r="L57" s="86">
        <f t="shared" si="1"/>
        <v>1.1480838477366255</v>
      </c>
      <c r="M57" s="86">
        <f t="shared" si="2"/>
        <v>0.53390629721988947</v>
      </c>
      <c r="N57" s="86">
        <f t="shared" si="2"/>
        <v>0.52745486035879352</v>
      </c>
      <c r="O57" s="14">
        <f>Analysis!F59*Default_Risk!M57</f>
        <v>38770.679293485053</v>
      </c>
      <c r="P57" s="14">
        <f>Analysis!H59*Default_Risk!N57</f>
        <v>35784.45128605335</v>
      </c>
    </row>
    <row r="58" spans="6:16" x14ac:dyDescent="0.3">
      <c r="F58" s="16">
        <v>54</v>
      </c>
      <c r="G58" s="17">
        <f>Analysis!E60</f>
        <v>112734.52863015613</v>
      </c>
      <c r="H58" s="17">
        <f>Analysis!G60</f>
        <v>104918.98148148147</v>
      </c>
      <c r="I58" s="85">
        <f t="shared" si="0"/>
        <v>0.37578176210052044</v>
      </c>
      <c r="J58" s="85">
        <f t="shared" si="0"/>
        <v>0.34972993827160492</v>
      </c>
      <c r="K58" s="86">
        <f t="shared" si="1"/>
        <v>1.1995453377094174</v>
      </c>
      <c r="L58" s="86">
        <f t="shared" si="1"/>
        <v>1.1452707047325101</v>
      </c>
      <c r="M58" s="86">
        <f t="shared" si="2"/>
        <v>0.52750184912385134</v>
      </c>
      <c r="N58" s="86">
        <f t="shared" si="2"/>
        <v>0.52139923630291241</v>
      </c>
      <c r="O58" s="14">
        <f>Analysis!F60*Default_Risk!M58</f>
        <v>37989.032149707549</v>
      </c>
      <c r="P58" s="14">
        <f>Analysis!H60*Default_Risk!N58</f>
        <v>34946.343880114851</v>
      </c>
    </row>
    <row r="59" spans="6:16" x14ac:dyDescent="0.3">
      <c r="F59" s="16">
        <v>55</v>
      </c>
      <c r="G59" s="17">
        <f>Analysis!E61</f>
        <v>112734.52863015613</v>
      </c>
      <c r="H59" s="17">
        <f>Analysis!G61</f>
        <v>104513.88888888889</v>
      </c>
      <c r="I59" s="85">
        <f t="shared" si="0"/>
        <v>0.37578176210052044</v>
      </c>
      <c r="J59" s="85">
        <f t="shared" si="0"/>
        <v>0.34837962962962965</v>
      </c>
      <c r="K59" s="86">
        <f t="shared" si="1"/>
        <v>1.1995453377094174</v>
      </c>
      <c r="L59" s="86">
        <f t="shared" si="1"/>
        <v>1.142457561728395</v>
      </c>
      <c r="M59" s="86">
        <f t="shared" si="2"/>
        <v>0.52117422528635526</v>
      </c>
      <c r="N59" s="86">
        <f t="shared" si="2"/>
        <v>0.51542780359483609</v>
      </c>
      <c r="O59" s="14">
        <f>Analysis!F61*Default_Risk!M59</f>
        <v>37223.143622196505</v>
      </c>
      <c r="P59" s="14">
        <f>Analysis!H61*Default_Risk!N59</f>
        <v>34128.328227896694</v>
      </c>
    </row>
    <row r="60" spans="6:16" x14ac:dyDescent="0.3">
      <c r="F60" s="16">
        <v>56</v>
      </c>
      <c r="G60" s="17">
        <f>Analysis!E62</f>
        <v>112734.52863015613</v>
      </c>
      <c r="H60" s="17">
        <f>Analysis!G62</f>
        <v>104108.79629629629</v>
      </c>
      <c r="I60" s="85">
        <f t="shared" si="0"/>
        <v>0.37578176210052044</v>
      </c>
      <c r="J60" s="85">
        <f t="shared" si="0"/>
        <v>0.34702932098765432</v>
      </c>
      <c r="K60" s="86">
        <f t="shared" si="1"/>
        <v>1.1995453377094174</v>
      </c>
      <c r="L60" s="86">
        <f t="shared" si="1"/>
        <v>1.1396444187242796</v>
      </c>
      <c r="M60" s="86">
        <f t="shared" si="2"/>
        <v>0.5149225041655896</v>
      </c>
      <c r="N60" s="86">
        <f t="shared" si="2"/>
        <v>0.50953925967741631</v>
      </c>
      <c r="O60" s="14">
        <f>Analysis!F62*Default_Risk!M60</f>
        <v>36472.696004952966</v>
      </c>
      <c r="P60" s="14">
        <f>Analysis!H62*Default_Risk!N60</f>
        <v>33329.908230908928</v>
      </c>
    </row>
    <row r="61" spans="6:16" x14ac:dyDescent="0.3">
      <c r="F61" s="16">
        <v>57</v>
      </c>
      <c r="G61" s="17">
        <f>Analysis!E63</f>
        <v>112734.52863015613</v>
      </c>
      <c r="H61" s="17">
        <f>Analysis!G63</f>
        <v>103703.70370370371</v>
      </c>
      <c r="I61" s="85">
        <f t="shared" si="0"/>
        <v>0.37578176210052044</v>
      </c>
      <c r="J61" s="85">
        <f t="shared" si="0"/>
        <v>0.34567901234567905</v>
      </c>
      <c r="K61" s="86">
        <f t="shared" si="1"/>
        <v>1.1995453377094174</v>
      </c>
      <c r="L61" s="86">
        <f t="shared" si="1"/>
        <v>1.1368312757201646</v>
      </c>
      <c r="M61" s="86">
        <f t="shared" si="2"/>
        <v>0.50874577527405473</v>
      </c>
      <c r="N61" s="86">
        <f t="shared" si="2"/>
        <v>0.50373232394329359</v>
      </c>
      <c r="O61" s="14">
        <f>Analysis!F63*Default_Risk!M61</f>
        <v>35737.377997178803</v>
      </c>
      <c r="P61" s="14">
        <f>Analysis!H63*Default_Risk!N61</f>
        <v>32550.60041579304</v>
      </c>
    </row>
    <row r="62" spans="6:16" x14ac:dyDescent="0.3">
      <c r="F62" s="16">
        <v>58</v>
      </c>
      <c r="G62" s="17">
        <f>Analysis!E64</f>
        <v>112734.52863015613</v>
      </c>
      <c r="H62" s="17">
        <f>Analysis!G64</f>
        <v>103298.61111111111</v>
      </c>
      <c r="I62" s="85">
        <f t="shared" si="0"/>
        <v>0.37578176210052044</v>
      </c>
      <c r="J62" s="85">
        <f t="shared" si="0"/>
        <v>0.34432870370370372</v>
      </c>
      <c r="K62" s="86">
        <f t="shared" si="1"/>
        <v>1.1995453377094174</v>
      </c>
      <c r="L62" s="86">
        <f t="shared" si="1"/>
        <v>1.1340181327160495</v>
      </c>
      <c r="M62" s="86">
        <f t="shared" si="2"/>
        <v>0.50264313904596114</v>
      </c>
      <c r="N62" s="86">
        <f t="shared" si="2"/>
        <v>0.49800573733879422</v>
      </c>
      <c r="O62" s="14">
        <f>Analysis!F64*Default_Risk!M62</f>
        <v>35016.884574142859</v>
      </c>
      <c r="P62" s="14">
        <f>Analysis!H64*Default_Risk!N62</f>
        <v>31789.933603462265</v>
      </c>
    </row>
    <row r="63" spans="6:16" x14ac:dyDescent="0.3">
      <c r="F63" s="16">
        <v>59</v>
      </c>
      <c r="G63" s="17">
        <f>Analysis!E65</f>
        <v>112734.52863015613</v>
      </c>
      <c r="H63" s="17">
        <f>Analysis!G65</f>
        <v>102893.51851851851</v>
      </c>
      <c r="I63" s="85">
        <f t="shared" si="0"/>
        <v>0.37578176210052044</v>
      </c>
      <c r="J63" s="85">
        <f t="shared" si="0"/>
        <v>0.34297839506172839</v>
      </c>
      <c r="K63" s="86">
        <f t="shared" si="1"/>
        <v>1.1995453377094174</v>
      </c>
      <c r="L63" s="86">
        <f t="shared" si="1"/>
        <v>1.1312049897119341</v>
      </c>
      <c r="M63" s="86">
        <f t="shared" si="2"/>
        <v>0.49661370670621907</v>
      </c>
      <c r="N63" s="86">
        <f t="shared" si="2"/>
        <v>0.492358261975406</v>
      </c>
      <c r="O63" s="14">
        <f>Analysis!F65*Default_Risk!M63</f>
        <v>34310.916860650555</v>
      </c>
      <c r="P63" s="14">
        <f>Analysis!H65*Default_Risk!N63</f>
        <v>31047.448587158902</v>
      </c>
    </row>
    <row r="64" spans="6:16" x14ac:dyDescent="0.3">
      <c r="F64" s="16">
        <v>60</v>
      </c>
      <c r="G64" s="17">
        <f>Analysis!E66</f>
        <v>112734.52863015613</v>
      </c>
      <c r="H64" s="17">
        <f>Analysis!G66</f>
        <v>102488.42592592593</v>
      </c>
      <c r="I64" s="85">
        <f t="shared" si="0"/>
        <v>0.37578176210052044</v>
      </c>
      <c r="J64" s="85">
        <f t="shared" si="0"/>
        <v>0.34162808641975306</v>
      </c>
      <c r="K64" s="86">
        <f t="shared" si="1"/>
        <v>1.1995453377094174</v>
      </c>
      <c r="L64" s="86">
        <f t="shared" si="1"/>
        <v>1.1283918467078189</v>
      </c>
      <c r="M64" s="86">
        <f t="shared" si="2"/>
        <v>0.49065660014099871</v>
      </c>
      <c r="N64" s="86">
        <f t="shared" si="2"/>
        <v>0.48678868074868126</v>
      </c>
      <c r="O64" s="14">
        <f>Analysis!F66*Default_Risk!M64</f>
        <v>33619.182007064403</v>
      </c>
      <c r="P64" s="14">
        <f>Analysis!H66*Default_Risk!N64</f>
        <v>30322.697819181496</v>
      </c>
    </row>
    <row r="65" spans="6:17" x14ac:dyDescent="0.3">
      <c r="F65" s="16">
        <v>61</v>
      </c>
      <c r="G65" s="17">
        <f>Analysis!E67</f>
        <v>112734.52863015613</v>
      </c>
      <c r="H65" s="17">
        <f>Analysis!G67</f>
        <v>102083.33333333333</v>
      </c>
      <c r="I65" s="85">
        <f t="shared" si="0"/>
        <v>0.37578176210052044</v>
      </c>
      <c r="J65" s="85">
        <f t="shared" si="0"/>
        <v>0.34027777777777773</v>
      </c>
      <c r="K65" s="86">
        <f t="shared" si="1"/>
        <v>1.1995453377094174</v>
      </c>
      <c r="L65" s="86">
        <f t="shared" si="1"/>
        <v>1.1255787037037035</v>
      </c>
      <c r="M65" s="86">
        <f t="shared" si="2"/>
        <v>0.48477095176984381</v>
      </c>
      <c r="N65" s="86">
        <f t="shared" si="2"/>
        <v>0.48129579696441654</v>
      </c>
      <c r="O65" s="14">
        <f>Analysis!F67*Default_Risk!M65</f>
        <v>32941.393067824079</v>
      </c>
      <c r="P65" s="14">
        <f>Analysis!H67*Default_Risk!N65</f>
        <v>29615.245106042181</v>
      </c>
    </row>
    <row r="66" spans="6:17" x14ac:dyDescent="0.3">
      <c r="F66" s="16">
        <v>62</v>
      </c>
      <c r="G66" s="17">
        <f>Analysis!E68</f>
        <v>112734.52863015613</v>
      </c>
      <c r="H66" s="17">
        <f>Analysis!G68</f>
        <v>101678.24074074074</v>
      </c>
      <c r="I66" s="85">
        <f t="shared" si="0"/>
        <v>0.37578176210052044</v>
      </c>
      <c r="J66" s="85">
        <f t="shared" si="0"/>
        <v>0.33892746913580246</v>
      </c>
      <c r="K66" s="86">
        <f t="shared" si="1"/>
        <v>1.1995453377094174</v>
      </c>
      <c r="L66" s="86">
        <f t="shared" si="1"/>
        <v>1.1227655606995883</v>
      </c>
      <c r="M66" s="86">
        <f t="shared" si="2"/>
        <v>0.47895590441931907</v>
      </c>
      <c r="N66" s="86">
        <f t="shared" si="2"/>
        <v>0.47587843397196405</v>
      </c>
      <c r="O66" s="14">
        <f>Analysis!F68*Default_Risk!M66</f>
        <v>32277.268882415665</v>
      </c>
      <c r="P66" s="14">
        <f>Analysis!H68*Default_Risk!N66</f>
        <v>28924.665311821358</v>
      </c>
    </row>
    <row r="67" spans="6:17" x14ac:dyDescent="0.3">
      <c r="F67" s="16">
        <v>63</v>
      </c>
      <c r="G67" s="17">
        <f>Analysis!E69</f>
        <v>112734.52863015613</v>
      </c>
      <c r="H67" s="17">
        <f>Analysis!G69</f>
        <v>101273.14814814815</v>
      </c>
      <c r="I67" s="85">
        <f t="shared" si="0"/>
        <v>0.37578176210052044</v>
      </c>
      <c r="J67" s="85">
        <f t="shared" si="0"/>
        <v>0.33757716049382713</v>
      </c>
      <c r="K67" s="86">
        <f t="shared" si="1"/>
        <v>1.1995453377094174</v>
      </c>
      <c r="L67" s="86">
        <f t="shared" si="1"/>
        <v>1.1199524176954732</v>
      </c>
      <c r="M67" s="86">
        <f t="shared" si="2"/>
        <v>0.47321061119817315</v>
      </c>
      <c r="N67" s="86">
        <f t="shared" si="2"/>
        <v>0.47053543480453031</v>
      </c>
      <c r="O67" s="14">
        <f>Analysis!F69*Default_Risk!M67</f>
        <v>31626.533958740551</v>
      </c>
      <c r="P67" s="14">
        <f>Analysis!H69*Default_Risk!N67</f>
        <v>28250.544069493215</v>
      </c>
    </row>
    <row r="68" spans="6:17" x14ac:dyDescent="0.3">
      <c r="F68" s="16">
        <v>64</v>
      </c>
      <c r="G68" s="17">
        <f>Analysis!E70</f>
        <v>112734.52863015613</v>
      </c>
      <c r="H68" s="17">
        <f>Analysis!G70</f>
        <v>100868.05555555555</v>
      </c>
      <c r="I68" s="85">
        <f t="shared" si="0"/>
        <v>0.37578176210052044</v>
      </c>
      <c r="J68" s="85">
        <f t="shared" si="0"/>
        <v>0.3362268518518518</v>
      </c>
      <c r="K68" s="86">
        <f t="shared" si="1"/>
        <v>1.1995453377094174</v>
      </c>
      <c r="L68" s="86">
        <f t="shared" si="1"/>
        <v>1.117139274691358</v>
      </c>
      <c r="M68" s="86">
        <f t="shared" si="2"/>
        <v>0.46753423537399924</v>
      </c>
      <c r="N68" s="86">
        <f t="shared" si="2"/>
        <v>0.46526566182632306</v>
      </c>
      <c r="O68" s="14">
        <f>Analysis!F70*Default_Risk!M68</f>
        <v>30988.918358835759</v>
      </c>
      <c r="P68" s="14">
        <f>Analysis!H70*Default_Risk!N68</f>
        <v>27592.477500002082</v>
      </c>
    </row>
    <row r="69" spans="6:17" x14ac:dyDescent="0.3">
      <c r="F69" s="16">
        <v>65</v>
      </c>
      <c r="G69" s="17">
        <f>Analysis!E71</f>
        <v>112734.52863015613</v>
      </c>
      <c r="H69" s="17">
        <f>Analysis!G71</f>
        <v>100462.96296296296</v>
      </c>
      <c r="I69" s="85">
        <f t="shared" si="0"/>
        <v>0.37578176210052044</v>
      </c>
      <c r="J69" s="85">
        <f t="shared" si="0"/>
        <v>0.33487654320987653</v>
      </c>
      <c r="K69" s="86">
        <f t="shared" si="1"/>
        <v>1.1995453377094174</v>
      </c>
      <c r="L69" s="86">
        <f t="shared" si="1"/>
        <v>1.1143261316872428</v>
      </c>
      <c r="M69" s="86">
        <f t="shared" si="2"/>
        <v>0.46192595025137506</v>
      </c>
      <c r="N69" s="86">
        <f t="shared" si="2"/>
        <v>0.46006799638640855</v>
      </c>
      <c r="O69" s="14">
        <f>Analysis!F71*Default_Risk!M69</f>
        <v>30364.157586898287</v>
      </c>
      <c r="P69" s="14">
        <f>Analysis!H71*Default_Risk!N69</f>
        <v>26950.071938876106</v>
      </c>
    </row>
    <row r="70" spans="6:17" x14ac:dyDescent="0.3">
      <c r="F70" s="16">
        <v>66</v>
      </c>
      <c r="G70" s="17">
        <f>Analysis!E72</f>
        <v>112734.52863015613</v>
      </c>
      <c r="H70" s="17">
        <f>Analysis!G72</f>
        <v>100057.87037037036</v>
      </c>
      <c r="I70" s="85">
        <f t="shared" ref="I70:J76" si="3">G70/$D$4</f>
        <v>0.37578176210052044</v>
      </c>
      <c r="J70" s="85">
        <f t="shared" si="3"/>
        <v>0.3335262345679012</v>
      </c>
      <c r="K70" s="86">
        <f t="shared" ref="K70:L76" si="4">(($D$5/1200)*(1+$D$6*I70))*100</f>
        <v>1.1995453377094174</v>
      </c>
      <c r="L70" s="86">
        <f t="shared" si="4"/>
        <v>1.1115129886831274</v>
      </c>
      <c r="M70" s="86">
        <f t="shared" si="2"/>
        <v>0.45638493905146477</v>
      </c>
      <c r="N70" s="86">
        <f t="shared" si="2"/>
        <v>0.45494133847914492</v>
      </c>
      <c r="O70" s="14">
        <f>Analysis!F72*Default_Risk!M70</f>
        <v>29751.992479566848</v>
      </c>
      <c r="P70" s="14">
        <f>Analysis!H72*Default_Risk!N70</f>
        <v>26322.943670170287</v>
      </c>
    </row>
    <row r="71" spans="6:17" x14ac:dyDescent="0.3">
      <c r="F71" s="16">
        <v>67</v>
      </c>
      <c r="G71" s="17">
        <f>Analysis!E73</f>
        <v>112734.52863015613</v>
      </c>
      <c r="H71" s="17">
        <f>Analysis!G73</f>
        <v>99652.777777777781</v>
      </c>
      <c r="I71" s="85">
        <f t="shared" si="3"/>
        <v>0.37578176210052044</v>
      </c>
      <c r="J71" s="85">
        <f t="shared" si="3"/>
        <v>0.33217592592592593</v>
      </c>
      <c r="K71" s="86">
        <f t="shared" si="4"/>
        <v>1.1995453377094174</v>
      </c>
      <c r="L71" s="86">
        <f t="shared" si="4"/>
        <v>1.1086998456790125</v>
      </c>
      <c r="M71" s="86">
        <f t="shared" ref="M71:N76" si="5">M70*(1-K70/100)</f>
        <v>0.45091039479306494</v>
      </c>
      <c r="N71" s="86">
        <f t="shared" si="5"/>
        <v>0.44988460641106037</v>
      </c>
      <c r="O71" s="14">
        <f>Analysis!F73*Default_Risk!M71</f>
        <v>29152.169098415754</v>
      </c>
      <c r="P71" s="14">
        <f>Analysis!H73*Default_Risk!N71</f>
        <v>25710.718667537301</v>
      </c>
    </row>
    <row r="72" spans="6:17" x14ac:dyDescent="0.3">
      <c r="F72" s="16">
        <v>68</v>
      </c>
      <c r="G72" s="17">
        <f>Analysis!E74</f>
        <v>112734.52863015613</v>
      </c>
      <c r="H72" s="17">
        <f>Analysis!G74</f>
        <v>99247.685185185182</v>
      </c>
      <c r="I72" s="85">
        <f t="shared" si="3"/>
        <v>0.37578176210052044</v>
      </c>
      <c r="J72" s="85">
        <f t="shared" si="3"/>
        <v>0.3308256172839506</v>
      </c>
      <c r="K72" s="86">
        <f t="shared" si="4"/>
        <v>1.1995453377094174</v>
      </c>
      <c r="L72" s="86">
        <f t="shared" si="4"/>
        <v>1.1058867026748971</v>
      </c>
      <c r="M72" s="86">
        <f t="shared" si="5"/>
        <v>0.4455015201750776</v>
      </c>
      <c r="N72" s="86">
        <f t="shared" si="5"/>
        <v>0.44489673647404732</v>
      </c>
      <c r="O72" s="14">
        <f>Analysis!F74*Default_Risk!M72</f>
        <v>28564.438624616076</v>
      </c>
      <c r="P72" s="14">
        <f>Analysis!H74*Default_Risk!N72</f>
        <v>25113.032342229795</v>
      </c>
    </row>
    <row r="73" spans="6:17" x14ac:dyDescent="0.3">
      <c r="F73" s="16">
        <v>69</v>
      </c>
      <c r="G73" s="17">
        <f>Analysis!E75</f>
        <v>112734.52863015613</v>
      </c>
      <c r="H73" s="17">
        <f>Analysis!G75</f>
        <v>98842.592592592584</v>
      </c>
      <c r="I73" s="85">
        <f t="shared" si="3"/>
        <v>0.37578176210052044</v>
      </c>
      <c r="J73" s="85">
        <f t="shared" si="3"/>
        <v>0.32947530864197527</v>
      </c>
      <c r="K73" s="86">
        <f t="shared" si="4"/>
        <v>1.1995453377094174</v>
      </c>
      <c r="L73" s="86">
        <f t="shared" si="4"/>
        <v>1.1030735596707819</v>
      </c>
      <c r="M73" s="86">
        <f t="shared" si="5"/>
        <v>0.44015752746039288</v>
      </c>
      <c r="N73" s="86">
        <f t="shared" si="5"/>
        <v>0.43997668262474626</v>
      </c>
      <c r="O73" s="14">
        <f>Analysis!F75*Default_Risk!M73</f>
        <v>27988.557255720625</v>
      </c>
      <c r="P73" s="14">
        <f>Analysis!H75*Default_Risk!N73</f>
        <v>24529.529297843736</v>
      </c>
    </row>
    <row r="74" spans="6:17" x14ac:dyDescent="0.3">
      <c r="F74" s="16">
        <v>70</v>
      </c>
      <c r="G74" s="17">
        <f>Analysis!E76</f>
        <v>112734.52863015613</v>
      </c>
      <c r="H74" s="17">
        <f>Analysis!G76</f>
        <v>98437.5</v>
      </c>
      <c r="I74" s="85">
        <f t="shared" si="3"/>
        <v>0.37578176210052044</v>
      </c>
      <c r="J74" s="85">
        <f t="shared" si="3"/>
        <v>0.328125</v>
      </c>
      <c r="K74" s="86">
        <f t="shared" si="4"/>
        <v>1.1995453377094174</v>
      </c>
      <c r="L74" s="86">
        <f t="shared" si="4"/>
        <v>1.1002604166666665</v>
      </c>
      <c r="M74" s="86">
        <f t="shared" si="5"/>
        <v>0.43487763836116466</v>
      </c>
      <c r="N74" s="86">
        <f t="shared" si="5"/>
        <v>0.43512341616999606</v>
      </c>
      <c r="O74" s="14">
        <f>Analysis!F76*Default_Risk!M74</f>
        <v>27424.286104529743</v>
      </c>
      <c r="P74" s="14">
        <f>Analysis!H76*Default_Risk!N74</f>
        <v>23959.863091617459</v>
      </c>
    </row>
    <row r="75" spans="6:17" x14ac:dyDescent="0.3">
      <c r="F75" s="16">
        <v>71</v>
      </c>
      <c r="G75" s="17">
        <f>Analysis!E77</f>
        <v>112734.52863015613</v>
      </c>
      <c r="H75" s="17">
        <f>Analysis!G77</f>
        <v>98032.407407407401</v>
      </c>
      <c r="I75" s="85">
        <f t="shared" si="3"/>
        <v>0.37578176210052044</v>
      </c>
      <c r="J75" s="85">
        <f t="shared" si="3"/>
        <v>0.32677469135802467</v>
      </c>
      <c r="K75" s="86">
        <f t="shared" si="4"/>
        <v>1.1995453377094174</v>
      </c>
      <c r="L75" s="86">
        <f t="shared" si="4"/>
        <v>1.0974472736625516</v>
      </c>
      <c r="M75" s="86">
        <f t="shared" si="5"/>
        <v>0.42966108392546248</v>
      </c>
      <c r="N75" s="86">
        <f t="shared" si="5"/>
        <v>0.43033592545822985</v>
      </c>
      <c r="O75" s="14">
        <f>Analysis!F77*Default_Risk!M75</f>
        <v>26871.391099996137</v>
      </c>
      <c r="P75" s="14">
        <f>Analysis!H77*Default_Risk!N75</f>
        <v>23403.696002106539</v>
      </c>
    </row>
    <row r="76" spans="6:17" x14ac:dyDescent="0.3">
      <c r="F76" s="16">
        <v>72</v>
      </c>
      <c r="G76" s="17">
        <f>Analysis!E78</f>
        <v>112734.52863015613</v>
      </c>
      <c r="H76" s="17">
        <f>Analysis!G78</f>
        <v>97627.314814814818</v>
      </c>
      <c r="I76" s="85">
        <f t="shared" si="3"/>
        <v>0.37578176210052044</v>
      </c>
      <c r="J76" s="85">
        <f t="shared" si="3"/>
        <v>0.3254243827160494</v>
      </c>
      <c r="K76" s="86">
        <f t="shared" si="4"/>
        <v>1.1995453377094174</v>
      </c>
      <c r="L76" s="86">
        <f t="shared" si="4"/>
        <v>1.0946341306584362</v>
      </c>
      <c r="M76" s="86">
        <f t="shared" si="5"/>
        <v>0.42450710442528283</v>
      </c>
      <c r="N76" s="86">
        <f t="shared" si="5"/>
        <v>0.42561321557669796</v>
      </c>
      <c r="O76" s="14">
        <f>Analysis!F78*Default_Risk!M76</f>
        <v>26329.642890127405</v>
      </c>
      <c r="P76" s="14">
        <f>Analysis!H78*Default_Risk!N76</f>
        <v>22860.698803059477</v>
      </c>
    </row>
    <row r="77" spans="6:17" ht="15.6" x14ac:dyDescent="0.3">
      <c r="F77" s="88" t="s">
        <v>6</v>
      </c>
      <c r="G77" s="89">
        <f t="shared" ref="G77:H77" si="6">SUM(G5:G76)</f>
        <v>8116886.061371238</v>
      </c>
      <c r="H77" s="89">
        <f t="shared" si="6"/>
        <v>8064583.333333333</v>
      </c>
      <c r="I77" s="89"/>
      <c r="J77" s="89"/>
      <c r="K77" s="89"/>
      <c r="L77" s="89"/>
      <c r="M77" s="89"/>
      <c r="N77" s="89"/>
      <c r="O77" s="89">
        <f>SUM(O5:O76)</f>
        <v>4265907.4040690353</v>
      </c>
      <c r="P77" s="89">
        <f>SUM(P5:P76)</f>
        <v>4323975.1708061984</v>
      </c>
      <c r="Q77" s="87"/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</vt:lpstr>
      <vt:lpstr>Annuity</vt:lpstr>
      <vt:lpstr>Differentiated</vt:lpstr>
      <vt:lpstr>Analysis</vt:lpstr>
      <vt:lpstr>Default_Risk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Наиль Ахмадиев</dc:creator>
  <cp:lastModifiedBy>Наиль Ахмадиев</cp:lastModifiedBy>
  <cp:lastPrinted>2026-01-03T07:29:12Z</cp:lastPrinted>
  <dcterms:created xsi:type="dcterms:W3CDTF">2015-06-05T18:19:34Z</dcterms:created>
  <dcterms:modified xsi:type="dcterms:W3CDTF">2026-01-07T11:04:37Z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667e166-4b10-4d44-9951-ddc92040c9bd_Enabled">
    <vt:lpwstr>true</vt:lpwstr>
  </property>
  <property fmtid="{D5CDD505-2E9C-101B-9397-08002B2CF9AE}" pid="3" name="MSIP_Label_5667e166-4b10-4d44-9951-ddc92040c9bd_SetDate">
    <vt:lpwstr>2025-01-24T13:37:14Z</vt:lpwstr>
  </property>
  <property fmtid="{D5CDD505-2E9C-101B-9397-08002B2CF9AE}" pid="4" name="MSIP_Label_5667e166-4b10-4d44-9951-ddc92040c9bd_Method">
    <vt:lpwstr>Standard</vt:lpwstr>
  </property>
  <property fmtid="{D5CDD505-2E9C-101B-9397-08002B2CF9AE}" pid="5" name="MSIP_Label_5667e166-4b10-4d44-9951-ddc92040c9bd_Name">
    <vt:lpwstr>С маркировкой</vt:lpwstr>
  </property>
  <property fmtid="{D5CDD505-2E9C-101B-9397-08002B2CF9AE}" pid="6" name="MSIP_Label_5667e166-4b10-4d44-9951-ddc92040c9bd_SiteId">
    <vt:lpwstr>38598580-1f17-4a12-918c-077d560b949f</vt:lpwstr>
  </property>
  <property fmtid="{D5CDD505-2E9C-101B-9397-08002B2CF9AE}" pid="7" name="MSIP_Label_5667e166-4b10-4d44-9951-ddc92040c9bd_ActionId">
    <vt:lpwstr>25017af9-db27-4954-8b35-6d33618dafbe</vt:lpwstr>
  </property>
  <property fmtid="{D5CDD505-2E9C-101B-9397-08002B2CF9AE}" pid="8" name="MSIP_Label_5667e166-4b10-4d44-9951-ddc92040c9bd_ContentBits">
    <vt:lpwstr>1</vt:lpwstr>
  </property>
</Properties>
</file>