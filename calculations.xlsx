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B:\личное-работа\дисконтирование кредитов\"/>
    </mc:Choice>
  </mc:AlternateContent>
  <xr:revisionPtr revIDLastSave="0" documentId="13_ncr:1_{E1A31698-E4F9-4079-8DF8-001BE576EFB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NPUT" sheetId="7" r:id="rId1"/>
    <sheet name="Annuity" sheetId="2" r:id="rId2"/>
    <sheet name="Differentiated" sheetId="3" r:id="rId3"/>
    <sheet name="Analysis" sheetId="8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3" l="1"/>
  <c r="E15" i="3"/>
  <c r="G15" i="8" s="1"/>
  <c r="H15" i="8" s="1"/>
  <c r="E16" i="3"/>
  <c r="G16" i="8" s="1"/>
  <c r="H16" i="8" s="1"/>
  <c r="E17" i="3"/>
  <c r="G17" i="8" s="1"/>
  <c r="H17" i="8" s="1"/>
  <c r="E18" i="3"/>
  <c r="G18" i="8" s="1"/>
  <c r="H18" i="8" s="1"/>
  <c r="E19" i="3"/>
  <c r="G19" i="8" s="1"/>
  <c r="H19" i="8" s="1"/>
  <c r="E20" i="3"/>
  <c r="G20" i="8" s="1"/>
  <c r="H20" i="8" s="1"/>
  <c r="E21" i="3"/>
  <c r="G21" i="8" s="1"/>
  <c r="H21" i="8" s="1"/>
  <c r="E22" i="3"/>
  <c r="G22" i="8" s="1"/>
  <c r="H22" i="8" s="1"/>
  <c r="E23" i="3"/>
  <c r="G23" i="8" s="1"/>
  <c r="H23" i="8" s="1"/>
  <c r="E24" i="3"/>
  <c r="G24" i="8" s="1"/>
  <c r="H24" i="8" s="1"/>
  <c r="E25" i="3"/>
  <c r="G25" i="8" s="1"/>
  <c r="H25" i="8" s="1"/>
  <c r="E26" i="3"/>
  <c r="G26" i="8" s="1"/>
  <c r="H26" i="8" s="1"/>
  <c r="E27" i="3"/>
  <c r="G27" i="8" s="1"/>
  <c r="H27" i="8" s="1"/>
  <c r="E28" i="3"/>
  <c r="G28" i="8" s="1"/>
  <c r="H28" i="8" s="1"/>
  <c r="E29" i="3"/>
  <c r="G29" i="8" s="1"/>
  <c r="H29" i="8" s="1"/>
  <c r="E30" i="3"/>
  <c r="G30" i="8" s="1"/>
  <c r="H30" i="8" s="1"/>
  <c r="E31" i="3"/>
  <c r="G31" i="8" s="1"/>
  <c r="H31" i="8" s="1"/>
  <c r="E32" i="3"/>
  <c r="G32" i="8" s="1"/>
  <c r="H32" i="8" s="1"/>
  <c r="E33" i="3"/>
  <c r="G33" i="8" s="1"/>
  <c r="H33" i="8" s="1"/>
  <c r="E34" i="3"/>
  <c r="G34" i="8" s="1"/>
  <c r="H34" i="8" s="1"/>
  <c r="E35" i="3"/>
  <c r="G35" i="8" s="1"/>
  <c r="H35" i="8" s="1"/>
  <c r="E36" i="3"/>
  <c r="G36" i="8" s="1"/>
  <c r="H36" i="8" s="1"/>
  <c r="E37" i="3"/>
  <c r="G37" i="8" s="1"/>
  <c r="H37" i="8" s="1"/>
  <c r="E38" i="3"/>
  <c r="G38" i="8" s="1"/>
  <c r="H38" i="8" s="1"/>
  <c r="E39" i="3"/>
  <c r="G39" i="8" s="1"/>
  <c r="H39" i="8" s="1"/>
  <c r="E40" i="3"/>
  <c r="G40" i="8" s="1"/>
  <c r="H40" i="8" s="1"/>
  <c r="E41" i="3"/>
  <c r="G41" i="8" s="1"/>
  <c r="H41" i="8" s="1"/>
  <c r="E42" i="3"/>
  <c r="G42" i="8" s="1"/>
  <c r="H42" i="8" s="1"/>
  <c r="E43" i="3"/>
  <c r="G43" i="8" s="1"/>
  <c r="H43" i="8" s="1"/>
  <c r="E44" i="3"/>
  <c r="G44" i="8" s="1"/>
  <c r="H44" i="8" s="1"/>
  <c r="E45" i="3"/>
  <c r="G45" i="8" s="1"/>
  <c r="H45" i="8" s="1"/>
  <c r="E46" i="3"/>
  <c r="G46" i="8" s="1"/>
  <c r="H46" i="8" s="1"/>
  <c r="E47" i="3"/>
  <c r="G47" i="8" s="1"/>
  <c r="H47" i="8" s="1"/>
  <c r="E48" i="3"/>
  <c r="G48" i="8" s="1"/>
  <c r="H48" i="8" s="1"/>
  <c r="E49" i="3"/>
  <c r="G49" i="8" s="1"/>
  <c r="H49" i="8" s="1"/>
  <c r="E50" i="3"/>
  <c r="G50" i="8" s="1"/>
  <c r="H50" i="8" s="1"/>
  <c r="E51" i="3"/>
  <c r="G51" i="8" s="1"/>
  <c r="H51" i="8" s="1"/>
  <c r="E52" i="3"/>
  <c r="G52" i="8" s="1"/>
  <c r="H52" i="8" s="1"/>
  <c r="E53" i="3"/>
  <c r="G53" i="8" s="1"/>
  <c r="H53" i="8" s="1"/>
  <c r="E54" i="3"/>
  <c r="G54" i="8" s="1"/>
  <c r="H54" i="8" s="1"/>
  <c r="E55" i="3"/>
  <c r="G55" i="8" s="1"/>
  <c r="H55" i="8" s="1"/>
  <c r="E56" i="3"/>
  <c r="G56" i="8" s="1"/>
  <c r="H56" i="8" s="1"/>
  <c r="E57" i="3"/>
  <c r="G57" i="8" s="1"/>
  <c r="H57" i="8" s="1"/>
  <c r="E58" i="3"/>
  <c r="G58" i="8" s="1"/>
  <c r="H58" i="8" s="1"/>
  <c r="E59" i="3"/>
  <c r="G59" i="8" s="1"/>
  <c r="H59" i="8" s="1"/>
  <c r="E60" i="3"/>
  <c r="G60" i="8" s="1"/>
  <c r="H60" i="8" s="1"/>
  <c r="E61" i="3"/>
  <c r="G61" i="8" s="1"/>
  <c r="H61" i="8" s="1"/>
  <c r="E62" i="3"/>
  <c r="G62" i="8" s="1"/>
  <c r="H62" i="8" s="1"/>
  <c r="E63" i="3"/>
  <c r="G63" i="8" s="1"/>
  <c r="H63" i="8" s="1"/>
  <c r="E64" i="3"/>
  <c r="G64" i="8" s="1"/>
  <c r="H64" i="8" s="1"/>
  <c r="E65" i="3"/>
  <c r="G65" i="8" s="1"/>
  <c r="H65" i="8" s="1"/>
  <c r="E66" i="3"/>
  <c r="G66" i="8" s="1"/>
  <c r="H66" i="8" s="1"/>
  <c r="E67" i="3"/>
  <c r="G67" i="8" s="1"/>
  <c r="H67" i="8" s="1"/>
  <c r="E68" i="3"/>
  <c r="G68" i="8" s="1"/>
  <c r="H68" i="8" s="1"/>
  <c r="E69" i="3"/>
  <c r="G69" i="8" s="1"/>
  <c r="H69" i="8" s="1"/>
  <c r="E70" i="3"/>
  <c r="G70" i="8" s="1"/>
  <c r="H70" i="8" s="1"/>
  <c r="E71" i="3"/>
  <c r="G71" i="8" s="1"/>
  <c r="H71" i="8" s="1"/>
  <c r="E72" i="3"/>
  <c r="G72" i="8" s="1"/>
  <c r="H72" i="8" s="1"/>
  <c r="E73" i="3"/>
  <c r="G73" i="8" s="1"/>
  <c r="H73" i="8" s="1"/>
  <c r="E74" i="3"/>
  <c r="G74" i="8" s="1"/>
  <c r="H74" i="8" s="1"/>
  <c r="E75" i="3"/>
  <c r="G75" i="8" s="1"/>
  <c r="H75" i="8" s="1"/>
  <c r="E76" i="3"/>
  <c r="G76" i="8" s="1"/>
  <c r="H76" i="8" s="1"/>
  <c r="E77" i="3"/>
  <c r="G77" i="8" s="1"/>
  <c r="H77" i="8" s="1"/>
  <c r="E78" i="3"/>
  <c r="G78" i="8" s="1"/>
  <c r="H78" i="8" s="1"/>
  <c r="E8" i="3"/>
  <c r="G8" i="8" s="1"/>
  <c r="H8" i="8" s="1"/>
  <c r="E9" i="3"/>
  <c r="G9" i="8" s="1"/>
  <c r="H9" i="8" s="1"/>
  <c r="E10" i="3"/>
  <c r="G10" i="8" s="1"/>
  <c r="H10" i="8" s="1"/>
  <c r="E11" i="3"/>
  <c r="G11" i="8" s="1"/>
  <c r="H11" i="8" s="1"/>
  <c r="E12" i="3"/>
  <c r="G12" i="8" s="1"/>
  <c r="H12" i="8" s="1"/>
  <c r="E13" i="3"/>
  <c r="G13" i="8" s="1"/>
  <c r="H13" i="8" s="1"/>
  <c r="E14" i="3"/>
  <c r="G14" i="8" s="1"/>
  <c r="H14" i="8" s="1"/>
  <c r="E7" i="3"/>
  <c r="G7" i="8" s="1"/>
  <c r="G7" i="2"/>
  <c r="E8" i="2"/>
  <c r="E9" i="2"/>
  <c r="E9" i="8" s="1"/>
  <c r="F9" i="8" s="1"/>
  <c r="E10" i="2"/>
  <c r="E10" i="8" s="1"/>
  <c r="F10" i="8" s="1"/>
  <c r="E11" i="2"/>
  <c r="E11" i="8" s="1"/>
  <c r="F11" i="8" s="1"/>
  <c r="E12" i="2"/>
  <c r="E12" i="8" s="1"/>
  <c r="F12" i="8" s="1"/>
  <c r="E13" i="2"/>
  <c r="E13" i="8" s="1"/>
  <c r="F13" i="8" s="1"/>
  <c r="E14" i="2"/>
  <c r="E15" i="2"/>
  <c r="E16" i="2"/>
  <c r="E17" i="2"/>
  <c r="E17" i="8" s="1"/>
  <c r="F17" i="8" s="1"/>
  <c r="E18" i="2"/>
  <c r="E18" i="8" s="1"/>
  <c r="F18" i="8" s="1"/>
  <c r="E19" i="2"/>
  <c r="E19" i="8" s="1"/>
  <c r="F19" i="8" s="1"/>
  <c r="E20" i="2"/>
  <c r="E21" i="2"/>
  <c r="E22" i="2"/>
  <c r="E22" i="8" s="1"/>
  <c r="F22" i="8" s="1"/>
  <c r="E23" i="2"/>
  <c r="E23" i="8" s="1"/>
  <c r="F23" i="8" s="1"/>
  <c r="E24" i="2"/>
  <c r="E25" i="2"/>
  <c r="E25" i="8" s="1"/>
  <c r="F25" i="8" s="1"/>
  <c r="E26" i="2"/>
  <c r="E26" i="8" s="1"/>
  <c r="F26" i="8" s="1"/>
  <c r="E27" i="2"/>
  <c r="E27" i="8" s="1"/>
  <c r="F27" i="8" s="1"/>
  <c r="E28" i="2"/>
  <c r="E29" i="2"/>
  <c r="E30" i="2"/>
  <c r="E30" i="8" s="1"/>
  <c r="F30" i="8" s="1"/>
  <c r="E31" i="2"/>
  <c r="E32" i="2"/>
  <c r="E32" i="8" s="1"/>
  <c r="F32" i="8" s="1"/>
  <c r="E33" i="2"/>
  <c r="E33" i="8" s="1"/>
  <c r="F33" i="8" s="1"/>
  <c r="E34" i="2"/>
  <c r="E34" i="8" s="1"/>
  <c r="F34" i="8" s="1"/>
  <c r="E35" i="2"/>
  <c r="E35" i="8" s="1"/>
  <c r="F35" i="8" s="1"/>
  <c r="E36" i="2"/>
  <c r="E36" i="8" s="1"/>
  <c r="F36" i="8" s="1"/>
  <c r="E37" i="2"/>
  <c r="E38" i="2"/>
  <c r="E39" i="2"/>
  <c r="E40" i="2"/>
  <c r="E40" i="8" s="1"/>
  <c r="F40" i="8" s="1"/>
  <c r="E41" i="2"/>
  <c r="E41" i="8" s="1"/>
  <c r="F41" i="8" s="1"/>
  <c r="E42" i="2"/>
  <c r="E42" i="8" s="1"/>
  <c r="F42" i="8" s="1"/>
  <c r="E43" i="2"/>
  <c r="E43" i="8" s="1"/>
  <c r="F43" i="8" s="1"/>
  <c r="E44" i="2"/>
  <c r="E44" i="8" s="1"/>
  <c r="F44" i="8" s="1"/>
  <c r="E45" i="2"/>
  <c r="E46" i="2"/>
  <c r="E46" i="8" s="1"/>
  <c r="F46" i="8" s="1"/>
  <c r="E47" i="2"/>
  <c r="E47" i="8" s="1"/>
  <c r="F47" i="8" s="1"/>
  <c r="E48" i="2"/>
  <c r="E48" i="8" s="1"/>
  <c r="F48" i="8" s="1"/>
  <c r="E49" i="2"/>
  <c r="E49" i="8" s="1"/>
  <c r="F49" i="8" s="1"/>
  <c r="E50" i="2"/>
  <c r="E50" i="8" s="1"/>
  <c r="F50" i="8" s="1"/>
  <c r="E51" i="2"/>
  <c r="E51" i="8" s="1"/>
  <c r="F51" i="8" s="1"/>
  <c r="E52" i="2"/>
  <c r="E53" i="2"/>
  <c r="E54" i="2"/>
  <c r="E54" i="8" s="1"/>
  <c r="F54" i="8" s="1"/>
  <c r="E55" i="2"/>
  <c r="E55" i="8" s="1"/>
  <c r="F55" i="8" s="1"/>
  <c r="E56" i="2"/>
  <c r="E57" i="2"/>
  <c r="E57" i="8" s="1"/>
  <c r="F57" i="8" s="1"/>
  <c r="E58" i="2"/>
  <c r="E58" i="8" s="1"/>
  <c r="F58" i="8" s="1"/>
  <c r="E59" i="2"/>
  <c r="E59" i="8" s="1"/>
  <c r="F59" i="8" s="1"/>
  <c r="E60" i="2"/>
  <c r="E60" i="8" s="1"/>
  <c r="F60" i="8" s="1"/>
  <c r="E61" i="2"/>
  <c r="E62" i="2"/>
  <c r="E63" i="2"/>
  <c r="E64" i="2"/>
  <c r="E65" i="2"/>
  <c r="E65" i="8" s="1"/>
  <c r="F65" i="8" s="1"/>
  <c r="E66" i="2"/>
  <c r="E66" i="8" s="1"/>
  <c r="F66" i="8" s="1"/>
  <c r="E67" i="2"/>
  <c r="E67" i="8" s="1"/>
  <c r="F67" i="8" s="1"/>
  <c r="E68" i="2"/>
  <c r="E68" i="8" s="1"/>
  <c r="F68" i="8" s="1"/>
  <c r="E69" i="2"/>
  <c r="E70" i="2"/>
  <c r="E70" i="8" s="1"/>
  <c r="F70" i="8" s="1"/>
  <c r="E71" i="2"/>
  <c r="E71" i="8" s="1"/>
  <c r="F71" i="8" s="1"/>
  <c r="E72" i="2"/>
  <c r="E73" i="2"/>
  <c r="E73" i="8" s="1"/>
  <c r="F73" i="8" s="1"/>
  <c r="E74" i="2"/>
  <c r="E74" i="8" s="1"/>
  <c r="F74" i="8" s="1"/>
  <c r="E75" i="2"/>
  <c r="E75" i="8" s="1"/>
  <c r="F75" i="8" s="1"/>
  <c r="E76" i="2"/>
  <c r="E77" i="2"/>
  <c r="E78" i="2"/>
  <c r="E7" i="2"/>
  <c r="E7" i="8" s="1"/>
  <c r="E24" i="8" l="1"/>
  <c r="F24" i="8" s="1"/>
  <c r="E72" i="8"/>
  <c r="F72" i="8" s="1"/>
  <c r="E69" i="8"/>
  <c r="F69" i="8" s="1"/>
  <c r="E45" i="8"/>
  <c r="F45" i="8" s="1"/>
  <c r="E21" i="8"/>
  <c r="F21" i="8" s="1"/>
  <c r="E62" i="8"/>
  <c r="F62" i="8" s="1"/>
  <c r="E38" i="8"/>
  <c r="F38" i="8" s="1"/>
  <c r="E14" i="8"/>
  <c r="F14" i="8" s="1"/>
  <c r="E61" i="8"/>
  <c r="F61" i="8" s="1"/>
  <c r="E37" i="8"/>
  <c r="F37" i="8" s="1"/>
  <c r="F7" i="8"/>
  <c r="H7" i="8"/>
  <c r="H79" i="8" s="1"/>
  <c r="L9" i="8" s="1"/>
  <c r="G79" i="8"/>
  <c r="L7" i="8" s="1"/>
  <c r="E56" i="8"/>
  <c r="F56" i="8" s="1"/>
  <c r="E20" i="8"/>
  <c r="F20" i="8" s="1"/>
  <c r="E8" i="8"/>
  <c r="F8" i="8" s="1"/>
  <c r="E31" i="8"/>
  <c r="F31" i="8" s="1"/>
  <c r="E78" i="8"/>
  <c r="F78" i="8" s="1"/>
  <c r="E77" i="8"/>
  <c r="F77" i="8" s="1"/>
  <c r="E53" i="8"/>
  <c r="F53" i="8" s="1"/>
  <c r="E29" i="8"/>
  <c r="F29" i="8" s="1"/>
  <c r="E76" i="8"/>
  <c r="F76" i="8" s="1"/>
  <c r="E64" i="8"/>
  <c r="F64" i="8" s="1"/>
  <c r="E52" i="8"/>
  <c r="F52" i="8" s="1"/>
  <c r="E28" i="8"/>
  <c r="F28" i="8" s="1"/>
  <c r="E16" i="8"/>
  <c r="F16" i="8" s="1"/>
  <c r="E63" i="8"/>
  <c r="F63" i="8" s="1"/>
  <c r="E39" i="8"/>
  <c r="F39" i="8" s="1"/>
  <c r="E15" i="8"/>
  <c r="F15" i="8" s="1"/>
  <c r="F7" i="2"/>
  <c r="E79" i="2"/>
  <c r="F79" i="8" l="1"/>
  <c r="L8" i="8" s="1"/>
  <c r="L11" i="8" s="1"/>
  <c r="H7" i="2"/>
  <c r="G8" i="2" s="1"/>
  <c r="F8" i="2" s="1"/>
  <c r="H8" i="2" s="1"/>
  <c r="E79" i="8"/>
  <c r="L6" i="8" s="1"/>
  <c r="L10" i="8" s="1"/>
  <c r="E79" i="3"/>
  <c r="F7" i="3"/>
  <c r="H7" i="3" l="1"/>
  <c r="G9" i="2"/>
  <c r="F9" i="2" s="1"/>
  <c r="H9" i="2" s="1"/>
  <c r="G10" i="2" s="1"/>
  <c r="F10" i="2" s="1"/>
  <c r="H10" i="2" s="1"/>
  <c r="G8" i="3" l="1"/>
  <c r="G11" i="2"/>
  <c r="F11" i="2" l="1"/>
  <c r="F8" i="3"/>
  <c r="H8" i="3" s="1"/>
  <c r="G9" i="3" s="1"/>
  <c r="F9" i="3" s="1"/>
  <c r="H9" i="3" s="1"/>
  <c r="G10" i="3" s="1"/>
  <c r="F10" i="3" s="1"/>
  <c r="H10" i="3" s="1"/>
  <c r="G11" i="3" s="1"/>
  <c r="F11" i="3" s="1"/>
  <c r="H11" i="3" s="1"/>
  <c r="G12" i="3" s="1"/>
  <c r="F12" i="3" s="1"/>
  <c r="H12" i="3" s="1"/>
  <c r="G13" i="3" s="1"/>
  <c r="F13" i="3" s="1"/>
  <c r="H13" i="3" s="1"/>
  <c r="G14" i="3" s="1"/>
  <c r="F14" i="3" s="1"/>
  <c r="H14" i="3" s="1"/>
  <c r="G15" i="3" s="1"/>
  <c r="H11" i="2" l="1"/>
  <c r="G12" i="2" s="1"/>
  <c r="F12" i="2" s="1"/>
  <c r="H12" i="2" s="1"/>
  <c r="G13" i="2" s="1"/>
  <c r="F13" i="2" s="1"/>
  <c r="H13" i="2" s="1"/>
  <c r="G14" i="2" s="1"/>
  <c r="F14" i="2" s="1"/>
  <c r="H14" i="2" s="1"/>
  <c r="G15" i="2" s="1"/>
  <c r="F15" i="2" s="1"/>
  <c r="H15" i="2" s="1"/>
  <c r="G16" i="2" s="1"/>
  <c r="F15" i="3"/>
  <c r="H15" i="3" s="1"/>
  <c r="G16" i="3" s="1"/>
  <c r="F16" i="3" l="1"/>
  <c r="F16" i="2"/>
  <c r="H16" i="2" s="1"/>
  <c r="G17" i="2" s="1"/>
  <c r="H16" i="3" l="1"/>
  <c r="G17" i="3" s="1"/>
  <c r="F17" i="2"/>
  <c r="H17" i="2" s="1"/>
  <c r="G18" i="2" s="1"/>
  <c r="F17" i="3" l="1"/>
  <c r="H17" i="3" s="1"/>
  <c r="G18" i="3" s="1"/>
  <c r="F18" i="3" s="1"/>
  <c r="H18" i="3" s="1"/>
  <c r="G19" i="3" s="1"/>
  <c r="F18" i="2"/>
  <c r="H18" i="2" s="1"/>
  <c r="G19" i="2" s="1"/>
  <c r="F19" i="3" l="1"/>
  <c r="H19" i="3" s="1"/>
  <c r="G20" i="3" s="1"/>
  <c r="F19" i="2"/>
  <c r="H19" i="2" s="1"/>
  <c r="G20" i="2" s="1"/>
  <c r="F20" i="3" l="1"/>
  <c r="H20" i="3" s="1"/>
  <c r="F20" i="2"/>
  <c r="H20" i="2" s="1"/>
  <c r="G21" i="3" l="1"/>
  <c r="F21" i="3" s="1"/>
  <c r="H21" i="3" s="1"/>
  <c r="G21" i="2"/>
  <c r="F21" i="2" s="1"/>
  <c r="H21" i="2" s="1"/>
  <c r="G22" i="2" s="1"/>
  <c r="F22" i="2" s="1"/>
  <c r="H22" i="2" s="1"/>
  <c r="G22" i="3" l="1"/>
  <c r="F22" i="3" s="1"/>
  <c r="H22" i="3" s="1"/>
  <c r="G23" i="3" s="1"/>
  <c r="F23" i="3" s="1"/>
  <c r="H23" i="3" s="1"/>
  <c r="G23" i="2"/>
  <c r="F23" i="2" s="1"/>
  <c r="H23" i="2" s="1"/>
  <c r="G24" i="2" s="1"/>
  <c r="F24" i="2" s="1"/>
  <c r="H24" i="2" s="1"/>
  <c r="G24" i="3" l="1"/>
  <c r="F24" i="3" s="1"/>
  <c r="H24" i="3" s="1"/>
  <c r="G25" i="2"/>
  <c r="F25" i="2" s="1"/>
  <c r="H25" i="2" s="1"/>
  <c r="G25" i="3" l="1"/>
  <c r="F25" i="3" s="1"/>
  <c r="H25" i="3" s="1"/>
  <c r="G26" i="2"/>
  <c r="F26" i="2" s="1"/>
  <c r="H26" i="2" s="1"/>
  <c r="G26" i="3" l="1"/>
  <c r="F26" i="3" s="1"/>
  <c r="H26" i="3" s="1"/>
  <c r="G27" i="2"/>
  <c r="F27" i="2" s="1"/>
  <c r="H27" i="2" s="1"/>
  <c r="G27" i="3" l="1"/>
  <c r="F27" i="3" s="1"/>
  <c r="H27" i="3" s="1"/>
  <c r="G28" i="3" s="1"/>
  <c r="F28" i="3" s="1"/>
  <c r="H28" i="3" s="1"/>
  <c r="G29" i="3" s="1"/>
  <c r="F29" i="3" s="1"/>
  <c r="H29" i="3" s="1"/>
  <c r="G30" i="3" s="1"/>
  <c r="F30" i="3" s="1"/>
  <c r="H30" i="3" s="1"/>
  <c r="G31" i="3" s="1"/>
  <c r="F31" i="3" s="1"/>
  <c r="H31" i="3" s="1"/>
  <c r="G28" i="2"/>
  <c r="F28" i="2" s="1"/>
  <c r="H28" i="2" s="1"/>
  <c r="G29" i="2" s="1"/>
  <c r="F29" i="2" s="1"/>
  <c r="H29" i="2" s="1"/>
  <c r="G30" i="2" s="1"/>
  <c r="F30" i="2" s="1"/>
  <c r="H30" i="2" s="1"/>
  <c r="G32" i="3" l="1"/>
  <c r="F32" i="3" s="1"/>
  <c r="H32" i="3" s="1"/>
  <c r="G31" i="2"/>
  <c r="F31" i="2" s="1"/>
  <c r="H31" i="2" s="1"/>
  <c r="G33" i="3" l="1"/>
  <c r="F33" i="3" s="1"/>
  <c r="H33" i="3" s="1"/>
  <c r="G34" i="3" s="1"/>
  <c r="F34" i="3" s="1"/>
  <c r="H34" i="3" s="1"/>
  <c r="G32" i="2"/>
  <c r="F32" i="2" s="1"/>
  <c r="H32" i="2" s="1"/>
  <c r="G35" i="3" l="1"/>
  <c r="F35" i="3" s="1"/>
  <c r="H35" i="3" s="1"/>
  <c r="G33" i="2"/>
  <c r="F33" i="2" s="1"/>
  <c r="H33" i="2" s="1"/>
  <c r="G36" i="3" l="1"/>
  <c r="F36" i="3" s="1"/>
  <c r="H36" i="3" s="1"/>
  <c r="G34" i="2"/>
  <c r="F34" i="2" s="1"/>
  <c r="H34" i="2" s="1"/>
  <c r="G35" i="2" s="1"/>
  <c r="F35" i="2" s="1"/>
  <c r="H35" i="2" s="1"/>
  <c r="G36" i="2" s="1"/>
  <c r="F36" i="2" s="1"/>
  <c r="H36" i="2" s="1"/>
  <c r="G37" i="3" l="1"/>
  <c r="F37" i="3" s="1"/>
  <c r="H37" i="3" s="1"/>
  <c r="G38" i="3" s="1"/>
  <c r="F38" i="3" s="1"/>
  <c r="H38" i="3" s="1"/>
  <c r="G39" i="3" s="1"/>
  <c r="F39" i="3" s="1"/>
  <c r="H39" i="3" s="1"/>
  <c r="G40" i="3" s="1"/>
  <c r="F40" i="3" s="1"/>
  <c r="H40" i="3" s="1"/>
  <c r="G41" i="3" s="1"/>
  <c r="F41" i="3" s="1"/>
  <c r="H41" i="3" s="1"/>
  <c r="G42" i="3" s="1"/>
  <c r="F42" i="3" s="1"/>
  <c r="H42" i="3" s="1"/>
  <c r="G43" i="3" s="1"/>
  <c r="G37" i="2"/>
  <c r="F37" i="2" s="1"/>
  <c r="H37" i="2" s="1"/>
  <c r="G38" i="2" s="1"/>
  <c r="F38" i="2" s="1"/>
  <c r="H38" i="2" s="1"/>
  <c r="G39" i="2" s="1"/>
  <c r="F39" i="2" s="1"/>
  <c r="H39" i="2" s="1"/>
  <c r="G40" i="2" s="1"/>
  <c r="F40" i="2" s="1"/>
  <c r="H40" i="2" s="1"/>
  <c r="G41" i="2" s="1"/>
  <c r="F41" i="2" s="1"/>
  <c r="H41" i="2" s="1"/>
  <c r="G42" i="2" s="1"/>
  <c r="F42" i="2" s="1"/>
  <c r="H42" i="2" s="1"/>
  <c r="G43" i="2" s="1"/>
  <c r="F43" i="3" l="1"/>
  <c r="H43" i="3" s="1"/>
  <c r="G44" i="3" s="1"/>
  <c r="F43" i="2"/>
  <c r="H43" i="2" s="1"/>
  <c r="G44" i="2" s="1"/>
  <c r="F44" i="3" l="1"/>
  <c r="H44" i="3" s="1"/>
  <c r="G45" i="3" s="1"/>
  <c r="F44" i="2"/>
  <c r="H44" i="2" s="1"/>
  <c r="G45" i="2" s="1"/>
  <c r="F45" i="3" l="1"/>
  <c r="H45" i="3" s="1"/>
  <c r="G46" i="3" s="1"/>
  <c r="F45" i="2"/>
  <c r="H45" i="2" s="1"/>
  <c r="G46" i="2" s="1"/>
  <c r="F46" i="3" l="1"/>
  <c r="H46" i="3" s="1"/>
  <c r="G47" i="3" s="1"/>
  <c r="F46" i="2"/>
  <c r="H46" i="2" s="1"/>
  <c r="G47" i="2" s="1"/>
  <c r="F47" i="3" l="1"/>
  <c r="H47" i="3" s="1"/>
  <c r="G48" i="3" s="1"/>
  <c r="F47" i="2"/>
  <c r="H47" i="2" s="1"/>
  <c r="G48" i="2" s="1"/>
  <c r="F48" i="3" l="1"/>
  <c r="H48" i="3" s="1"/>
  <c r="G49" i="3" s="1"/>
  <c r="F48" i="2"/>
  <c r="H48" i="2" s="1"/>
  <c r="G49" i="2" s="1"/>
  <c r="F49" i="3" l="1"/>
  <c r="H49" i="3" s="1"/>
  <c r="G50" i="3" s="1"/>
  <c r="F49" i="2"/>
  <c r="H49" i="2" s="1"/>
  <c r="G50" i="2" s="1"/>
  <c r="F50" i="3" l="1"/>
  <c r="H50" i="3" s="1"/>
  <c r="G51" i="3" s="1"/>
  <c r="F50" i="2"/>
  <c r="H50" i="2" s="1"/>
  <c r="G51" i="2" s="1"/>
  <c r="F51" i="3" l="1"/>
  <c r="H51" i="3" s="1"/>
  <c r="G52" i="3" s="1"/>
  <c r="F51" i="2"/>
  <c r="H51" i="2" s="1"/>
  <c r="G52" i="2" s="1"/>
  <c r="F52" i="3" l="1"/>
  <c r="H52" i="3" s="1"/>
  <c r="G53" i="3" s="1"/>
  <c r="F52" i="2"/>
  <c r="H52" i="2" s="1"/>
  <c r="G53" i="2" s="1"/>
  <c r="F53" i="3" l="1"/>
  <c r="H53" i="3" s="1"/>
  <c r="G54" i="3" s="1"/>
  <c r="F53" i="2"/>
  <c r="H53" i="2" s="1"/>
  <c r="G54" i="2" s="1"/>
  <c r="F54" i="3" l="1"/>
  <c r="H54" i="3" s="1"/>
  <c r="G55" i="3" s="1"/>
  <c r="F54" i="2"/>
  <c r="H54" i="2" s="1"/>
  <c r="G55" i="2" s="1"/>
  <c r="F55" i="3" l="1"/>
  <c r="H55" i="3" s="1"/>
  <c r="G56" i="3" s="1"/>
  <c r="F55" i="2"/>
  <c r="H55" i="2" s="1"/>
  <c r="G56" i="2" s="1"/>
  <c r="F56" i="3" l="1"/>
  <c r="H56" i="3" s="1"/>
  <c r="G57" i="3" s="1"/>
  <c r="F56" i="2"/>
  <c r="H56" i="2" s="1"/>
  <c r="G57" i="2" s="1"/>
  <c r="F57" i="3" l="1"/>
  <c r="H57" i="3" s="1"/>
  <c r="G58" i="3" s="1"/>
  <c r="F57" i="2"/>
  <c r="H57" i="2" s="1"/>
  <c r="G58" i="2" s="1"/>
  <c r="F58" i="3" l="1"/>
  <c r="H58" i="3" s="1"/>
  <c r="G59" i="3" s="1"/>
  <c r="F58" i="2"/>
  <c r="H58" i="2" s="1"/>
  <c r="G59" i="2" s="1"/>
  <c r="F59" i="3" l="1"/>
  <c r="H59" i="3" s="1"/>
  <c r="G60" i="3" s="1"/>
  <c r="F59" i="2"/>
  <c r="H59" i="2" s="1"/>
  <c r="G60" i="2" s="1"/>
  <c r="F60" i="3" l="1"/>
  <c r="H60" i="3" s="1"/>
  <c r="G61" i="3" s="1"/>
  <c r="F60" i="2"/>
  <c r="H60" i="2" s="1"/>
  <c r="G61" i="2" s="1"/>
  <c r="F61" i="3" l="1"/>
  <c r="H61" i="3" s="1"/>
  <c r="G62" i="3" s="1"/>
  <c r="F61" i="2"/>
  <c r="H61" i="2" s="1"/>
  <c r="G62" i="2" s="1"/>
  <c r="F62" i="3" l="1"/>
  <c r="H62" i="3" s="1"/>
  <c r="G63" i="3" s="1"/>
  <c r="F62" i="2"/>
  <c r="H62" i="2" s="1"/>
  <c r="G63" i="2" s="1"/>
  <c r="F63" i="3" l="1"/>
  <c r="H63" i="3" s="1"/>
  <c r="G64" i="3" s="1"/>
  <c r="F63" i="2"/>
  <c r="H63" i="2" s="1"/>
  <c r="G64" i="2" s="1"/>
  <c r="F64" i="3" l="1"/>
  <c r="H64" i="3" s="1"/>
  <c r="G65" i="3" s="1"/>
  <c r="F64" i="2"/>
  <c r="H64" i="2" s="1"/>
  <c r="G65" i="2" s="1"/>
  <c r="F65" i="3" l="1"/>
  <c r="H65" i="3" s="1"/>
  <c r="G66" i="3" s="1"/>
  <c r="F65" i="2"/>
  <c r="H65" i="2" s="1"/>
  <c r="G66" i="2" s="1"/>
  <c r="F66" i="3" l="1"/>
  <c r="H66" i="3" s="1"/>
  <c r="G67" i="3" s="1"/>
  <c r="F66" i="2"/>
  <c r="H66" i="2" s="1"/>
  <c r="G67" i="2" s="1"/>
  <c r="F67" i="3" l="1"/>
  <c r="H67" i="3" s="1"/>
  <c r="G68" i="3" s="1"/>
  <c r="F67" i="2"/>
  <c r="H67" i="2" s="1"/>
  <c r="G68" i="2" s="1"/>
  <c r="F68" i="3" l="1"/>
  <c r="H68" i="3" s="1"/>
  <c r="G69" i="3" s="1"/>
  <c r="F68" i="2"/>
  <c r="H68" i="2" s="1"/>
  <c r="G69" i="2" s="1"/>
  <c r="F69" i="3" l="1"/>
  <c r="H69" i="3" s="1"/>
  <c r="G70" i="3" s="1"/>
  <c r="F69" i="2"/>
  <c r="H69" i="2" s="1"/>
  <c r="G70" i="2" s="1"/>
  <c r="F70" i="3" l="1"/>
  <c r="H70" i="3" s="1"/>
  <c r="G71" i="3" s="1"/>
  <c r="F70" i="2"/>
  <c r="H70" i="2" s="1"/>
  <c r="G71" i="2" s="1"/>
  <c r="F71" i="3" l="1"/>
  <c r="H71" i="3" s="1"/>
  <c r="G72" i="3" s="1"/>
  <c r="F71" i="2"/>
  <c r="H71" i="2" s="1"/>
  <c r="G72" i="2" s="1"/>
  <c r="F72" i="3" l="1"/>
  <c r="H72" i="3" s="1"/>
  <c r="G73" i="3" s="1"/>
  <c r="F72" i="2"/>
  <c r="H72" i="2" s="1"/>
  <c r="G73" i="2" s="1"/>
  <c r="F73" i="3" l="1"/>
  <c r="H73" i="3" s="1"/>
  <c r="G74" i="3" s="1"/>
  <c r="F73" i="2"/>
  <c r="H73" i="2" s="1"/>
  <c r="G74" i="2" s="1"/>
  <c r="F74" i="3" l="1"/>
  <c r="H74" i="3" s="1"/>
  <c r="G75" i="3" s="1"/>
  <c r="F74" i="2"/>
  <c r="H74" i="2" s="1"/>
  <c r="G75" i="2" s="1"/>
  <c r="F75" i="3" l="1"/>
  <c r="H75" i="3" s="1"/>
  <c r="G76" i="3" s="1"/>
  <c r="F75" i="2"/>
  <c r="H75" i="2" s="1"/>
  <c r="G76" i="2" s="1"/>
  <c r="F76" i="3" l="1"/>
  <c r="H76" i="3" s="1"/>
  <c r="G77" i="3" s="1"/>
  <c r="F76" i="2"/>
  <c r="H76" i="2" s="1"/>
  <c r="G77" i="2" s="1"/>
  <c r="F77" i="3" l="1"/>
  <c r="H77" i="3" s="1"/>
  <c r="G78" i="3" s="1"/>
  <c r="G79" i="3" s="1"/>
  <c r="F77" i="2"/>
  <c r="H77" i="2" s="1"/>
  <c r="G78" i="2" s="1"/>
  <c r="G79" i="2" s="1"/>
  <c r="F78" i="3" l="1"/>
  <c r="F78" i="2"/>
  <c r="H78" i="2" l="1"/>
  <c r="F79" i="2"/>
  <c r="H78" i="3"/>
  <c r="F79" i="3"/>
</calcChain>
</file>

<file path=xl/sharedStrings.xml><?xml version="1.0" encoding="utf-8"?>
<sst xmlns="http://schemas.openxmlformats.org/spreadsheetml/2006/main" count="63" uniqueCount="29">
  <si>
    <t>Loan Amount</t>
  </si>
  <si>
    <t>Loan Term (months)</t>
  </si>
  <si>
    <t>Expected Annual Inflation (%)</t>
  </si>
  <si>
    <t>Annual Interest Rate (%)</t>
  </si>
  <si>
    <t>Annuity Loan Amortization Schedule</t>
  </si>
  <si>
    <t>Period</t>
  </si>
  <si>
    <t>Total:</t>
  </si>
  <si>
    <t>Monthly 
payment (KZT)</t>
  </si>
  <si>
    <t>Principal 
payment (KZT)</t>
  </si>
  <si>
    <t>Interest 
payment (KZT)</t>
  </si>
  <si>
    <t>Outstanding 
balance (KZT)</t>
  </si>
  <si>
    <t>Differentiated Loan Amortization Schedule</t>
  </si>
  <si>
    <t>Total 
payment (KZT)</t>
  </si>
  <si>
    <t>Total
payment (KZT)</t>
  </si>
  <si>
    <t>Discounted Cash Flow Analysis</t>
  </si>
  <si>
    <t>Annuity Payment</t>
  </si>
  <si>
    <t>Annuity PV</t>
  </si>
  <si>
    <t>Diff Payment</t>
  </si>
  <si>
    <t>Diff PV</t>
  </si>
  <si>
    <t>TOTAL PAYMENTS</t>
  </si>
  <si>
    <t>Annuity:</t>
  </si>
  <si>
    <t>Differentiated:</t>
  </si>
  <si>
    <t>Nominal 
Total</t>
  </si>
  <si>
    <t>Discounted 
Total (PV)</t>
  </si>
  <si>
    <t>Difference of nominal total cost:</t>
  </si>
  <si>
    <t>Difference of discounted total cost:</t>
  </si>
  <si>
    <t>Annual Interest Rate (%):</t>
  </si>
  <si>
    <t>Expected Annual Inflation (%):</t>
  </si>
  <si>
    <t>Sensitivity Analysis: Interest Rate vs 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</si>
</sst>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3" fontId="0" fillId="0" borderId="0" xfId="0" applyNumberFormat="1"/>
    <xf numFmtId="1" fontId="0" fillId="0" borderId="0" xfId="0" applyNumberFormat="1"/>
    <xf numFmtId="43" fontId="0" fillId="0" borderId="0" xfId="1" applyFont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right" wrapText="1"/>
    </xf>
    <xf numFmtId="164" fontId="0" fillId="0" borderId="0" xfId="1" applyNumberFormat="1" applyFont="1" applyBorder="1" applyAlignment="1">
      <alignment horizontal="left"/>
    </xf>
    <xf numFmtId="0" fontId="0" fillId="0" borderId="0" xfId="0" applyAlignment="1">
      <alignment horizontal="left"/>
    </xf>
    <xf numFmtId="1" fontId="4" fillId="0" borderId="1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right"/>
    </xf>
    <xf numFmtId="164" fontId="4" fillId="0" borderId="1" xfId="1" applyNumberFormat="1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" fontId="4" fillId="0" borderId="2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vertical="center"/>
    </xf>
    <xf numFmtId="3" fontId="4" fillId="0" borderId="14" xfId="0" applyNumberFormat="1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right"/>
    </xf>
    <xf numFmtId="3" fontId="3" fillId="0" borderId="6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/>
    <xf numFmtId="0" fontId="3" fillId="0" borderId="16" xfId="0" applyFont="1" applyBorder="1"/>
    <xf numFmtId="0" fontId="3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right"/>
    </xf>
    <xf numFmtId="0" fontId="4" fillId="0" borderId="19" xfId="0" applyFont="1" applyBorder="1" applyAlignment="1">
      <alignment horizontal="right"/>
    </xf>
    <xf numFmtId="0" fontId="4" fillId="0" borderId="21" xfId="0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3" fontId="4" fillId="0" borderId="20" xfId="0" applyNumberFormat="1" applyFont="1" applyBorder="1" applyAlignment="1">
      <alignment horizontal="center" vertical="center"/>
    </xf>
    <xf numFmtId="3" fontId="4" fillId="0" borderId="22" xfId="0" applyNumberFormat="1" applyFont="1" applyBorder="1" applyAlignment="1">
      <alignment horizontal="center" vertical="center"/>
    </xf>
    <xf numFmtId="3" fontId="4" fillId="0" borderId="13" xfId="0" applyNumberFormat="1" applyFont="1" applyBorder="1" applyAlignment="1">
      <alignment horizontal="center" vertical="center"/>
    </xf>
    <xf numFmtId="3" fontId="4" fillId="0" borderId="13" xfId="0" applyNumberFormat="1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 wrapText="1"/>
    </xf>
    <xf numFmtId="0" fontId="4" fillId="0" borderId="21" xfId="0" applyFont="1" applyBorder="1" applyAlignment="1">
      <alignment horizontal="center"/>
    </xf>
    <xf numFmtId="0" fontId="4" fillId="0" borderId="21" xfId="0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75E2B-DC89-4C5A-92D2-7C5409D71BB0}">
  <dimension ref="B3:C6"/>
  <sheetViews>
    <sheetView workbookViewId="0">
      <selection activeCell="C7" sqref="C7"/>
    </sheetView>
  </sheetViews>
  <sheetFormatPr defaultRowHeight="14.4" x14ac:dyDescent="0.3"/>
  <cols>
    <col min="2" max="2" width="31.88671875" bestFit="1" customWidth="1"/>
    <col min="3" max="3" width="11.44140625" bestFit="1" customWidth="1"/>
  </cols>
  <sheetData>
    <row r="3" spans="2:3" ht="18" x14ac:dyDescent="0.35">
      <c r="B3" s="4" t="s">
        <v>0</v>
      </c>
      <c r="C3" s="7">
        <v>7000000</v>
      </c>
    </row>
    <row r="4" spans="2:3" ht="18" x14ac:dyDescent="0.35">
      <c r="B4" s="4" t="s">
        <v>3</v>
      </c>
      <c r="C4" s="6">
        <v>5</v>
      </c>
    </row>
    <row r="5" spans="2:3" ht="18" x14ac:dyDescent="0.35">
      <c r="B5" s="4" t="s">
        <v>1</v>
      </c>
      <c r="C5" s="5">
        <v>72</v>
      </c>
    </row>
    <row r="6" spans="2:3" ht="18" x14ac:dyDescent="0.35">
      <c r="B6" s="4" t="s">
        <v>2</v>
      </c>
      <c r="C6" s="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3F573-F059-4FF5-8621-97A84CB80A95}">
  <dimension ref="A2:M79"/>
  <sheetViews>
    <sheetView workbookViewId="0">
      <selection activeCell="L15" sqref="L15"/>
    </sheetView>
  </sheetViews>
  <sheetFormatPr defaultRowHeight="14.4" x14ac:dyDescent="0.3"/>
  <cols>
    <col min="1" max="1" width="22.33203125" customWidth="1"/>
    <col min="2" max="2" width="13.88671875" bestFit="1" customWidth="1"/>
    <col min="3" max="3" width="11.33203125" customWidth="1"/>
    <col min="4" max="4" width="7.33203125" bestFit="1" customWidth="1"/>
    <col min="5" max="6" width="14.5546875" bestFit="1" customWidth="1"/>
    <col min="7" max="7" width="14.88671875" customWidth="1"/>
    <col min="8" max="8" width="13.88671875" customWidth="1"/>
    <col min="11" max="11" width="12" bestFit="1" customWidth="1"/>
    <col min="12" max="12" width="10.44140625" customWidth="1"/>
    <col min="13" max="13" width="12" bestFit="1" customWidth="1"/>
  </cols>
  <sheetData>
    <row r="2" spans="1:13" ht="28.2" customHeight="1" x14ac:dyDescent="0.3">
      <c r="A2" s="8"/>
      <c r="B2" s="9"/>
    </row>
    <row r="3" spans="1:13" x14ac:dyDescent="0.3">
      <c r="A3" s="8"/>
      <c r="B3" s="10"/>
    </row>
    <row r="4" spans="1:13" ht="15" thickBot="1" x14ac:dyDescent="0.35">
      <c r="A4" s="8"/>
      <c r="B4" s="10"/>
    </row>
    <row r="5" spans="1:13" ht="15.6" thickBot="1" x14ac:dyDescent="0.35">
      <c r="D5" s="46" t="s">
        <v>4</v>
      </c>
      <c r="E5" s="47"/>
      <c r="F5" s="47"/>
      <c r="G5" s="47"/>
      <c r="H5" s="48"/>
    </row>
    <row r="6" spans="1:13" ht="45.6" thickBot="1" x14ac:dyDescent="0.35">
      <c r="D6" s="27" t="s">
        <v>5</v>
      </c>
      <c r="E6" s="28" t="s">
        <v>7</v>
      </c>
      <c r="F6" s="28" t="s">
        <v>8</v>
      </c>
      <c r="G6" s="28" t="s">
        <v>9</v>
      </c>
      <c r="H6" s="29" t="s">
        <v>10</v>
      </c>
      <c r="K6" s="20" t="s">
        <v>13</v>
      </c>
      <c r="L6" s="21" t="s">
        <v>8</v>
      </c>
      <c r="M6" s="22" t="s">
        <v>9</v>
      </c>
    </row>
    <row r="7" spans="1:13" ht="15" thickBot="1" x14ac:dyDescent="0.35">
      <c r="D7" s="26">
        <v>1</v>
      </c>
      <c r="E7" s="26">
        <f>INPUT!$C$3*((INPUT!$C$4/1200)*(1+INPUT!$C$4/1200)^INPUT!$C$5/((1+INPUT!$C$4/1200)^INPUT!$C$5-1))</f>
        <v>112734.52863015613</v>
      </c>
      <c r="F7" s="12">
        <f>E7-G7</f>
        <v>83567.861963489457</v>
      </c>
      <c r="G7" s="26">
        <f>INPUT!C3*INPUT!C4/1200</f>
        <v>29166.666666666668</v>
      </c>
      <c r="H7" s="26">
        <f>INPUT!C3-F7</f>
        <v>6916432.1380365109</v>
      </c>
      <c r="J7" s="25" t="s">
        <v>6</v>
      </c>
      <c r="K7" s="31">
        <v>8116886.061371238</v>
      </c>
      <c r="L7" s="32">
        <v>6999999.9999999693</v>
      </c>
      <c r="M7" s="33">
        <v>1116886.0613712717</v>
      </c>
    </row>
    <row r="8" spans="1:13" x14ac:dyDescent="0.3">
      <c r="D8" s="11">
        <v>2</v>
      </c>
      <c r="E8" s="11">
        <f>INPUT!$C$3*((INPUT!$C$4/1200)*(1+INPUT!$C$4/1200)^INPUT!$C$5/((1+INPUT!$C$4/1200)^INPUT!$C$5-1))</f>
        <v>112734.52863015613</v>
      </c>
      <c r="F8" s="11">
        <f>E8-G8</f>
        <v>83916.06138833733</v>
      </c>
      <c r="G8" s="11">
        <f>H7*INPUT!$C$4/1200</f>
        <v>28818.467241818795</v>
      </c>
      <c r="H8" s="11">
        <f>H7-F8</f>
        <v>6832516.0766481739</v>
      </c>
    </row>
    <row r="9" spans="1:13" x14ac:dyDescent="0.3">
      <c r="D9" s="11">
        <v>3</v>
      </c>
      <c r="E9" s="11">
        <f>INPUT!$C$3*((INPUT!$C$4/1200)*(1+INPUT!$C$4/1200)^INPUT!$C$5/((1+INPUT!$C$4/1200)^INPUT!$C$5-1))</f>
        <v>112734.52863015613</v>
      </c>
      <c r="F9" s="11">
        <f t="shared" ref="F9:F72" si="0">E9-G9</f>
        <v>84265.711644122071</v>
      </c>
      <c r="G9" s="11">
        <f>H8*INPUT!$C$4/1200</f>
        <v>28468.81698603406</v>
      </c>
      <c r="H9" s="11">
        <f t="shared" ref="H9:H72" si="1">H8-F9</f>
        <v>6748250.3650040515</v>
      </c>
    </row>
    <row r="10" spans="1:13" x14ac:dyDescent="0.3">
      <c r="D10" s="11">
        <v>4</v>
      </c>
      <c r="E10" s="11">
        <f>INPUT!$C$3*((INPUT!$C$4/1200)*(1+INPUT!$C$4/1200)^INPUT!$C$5/((1+INPUT!$C$4/1200)^INPUT!$C$5-1))</f>
        <v>112734.52863015613</v>
      </c>
      <c r="F10" s="11">
        <f t="shared" si="0"/>
        <v>84616.818775972584</v>
      </c>
      <c r="G10" s="11">
        <f>H9*INPUT!$C$4/1200</f>
        <v>28117.709854183544</v>
      </c>
      <c r="H10" s="11">
        <f t="shared" si="1"/>
        <v>6663633.5462280791</v>
      </c>
    </row>
    <row r="11" spans="1:13" x14ac:dyDescent="0.3">
      <c r="D11" s="11">
        <v>5</v>
      </c>
      <c r="E11" s="11">
        <f>INPUT!$C$3*((INPUT!$C$4/1200)*(1+INPUT!$C$4/1200)^INPUT!$C$5/((1+INPUT!$C$4/1200)^INPUT!$C$5-1))</f>
        <v>112734.52863015613</v>
      </c>
      <c r="F11" s="11">
        <f t="shared" si="0"/>
        <v>84969.388854205798</v>
      </c>
      <c r="G11" s="11">
        <f>H10*INPUT!$C$4/1200</f>
        <v>27765.139775950331</v>
      </c>
      <c r="H11" s="11">
        <f t="shared" si="1"/>
        <v>6578664.1573738735</v>
      </c>
    </row>
    <row r="12" spans="1:13" x14ac:dyDescent="0.3">
      <c r="D12" s="11">
        <v>6</v>
      </c>
      <c r="E12" s="11">
        <f>INPUT!$C$3*((INPUT!$C$4/1200)*(1+INPUT!$C$4/1200)^INPUT!$C$5/((1+INPUT!$C$4/1200)^INPUT!$C$5-1))</f>
        <v>112734.52863015613</v>
      </c>
      <c r="F12" s="11">
        <f t="shared" si="0"/>
        <v>85323.427974431659</v>
      </c>
      <c r="G12" s="11">
        <f>H11*INPUT!$C$4/1200</f>
        <v>27411.100655724473</v>
      </c>
      <c r="H12" s="11">
        <f t="shared" si="1"/>
        <v>6493340.7293994417</v>
      </c>
    </row>
    <row r="13" spans="1:13" x14ac:dyDescent="0.3">
      <c r="D13" s="11">
        <v>7</v>
      </c>
      <c r="E13" s="11">
        <f>INPUT!$C$3*((INPUT!$C$4/1200)*(1+INPUT!$C$4/1200)^INPUT!$C$5/((1+INPUT!$C$4/1200)^INPUT!$C$5-1))</f>
        <v>112734.52863015613</v>
      </c>
      <c r="F13" s="11">
        <f t="shared" si="0"/>
        <v>85678.942257658462</v>
      </c>
      <c r="G13" s="11">
        <f>H12*INPUT!$C$4/1200</f>
        <v>27055.586372497673</v>
      </c>
      <c r="H13" s="11">
        <f t="shared" si="1"/>
        <v>6407661.7871417832</v>
      </c>
    </row>
    <row r="14" spans="1:13" x14ac:dyDescent="0.3">
      <c r="C14" s="2"/>
      <c r="D14" s="11">
        <v>8</v>
      </c>
      <c r="E14" s="11">
        <f>INPUT!$C$3*((INPUT!$C$4/1200)*(1+INPUT!$C$4/1200)^INPUT!$C$5/((1+INPUT!$C$4/1200)^INPUT!$C$5-1))</f>
        <v>112734.52863015613</v>
      </c>
      <c r="F14" s="11">
        <f t="shared" si="0"/>
        <v>86035.937850398695</v>
      </c>
      <c r="G14" s="11">
        <f>H13*INPUT!$C$4/1200</f>
        <v>26698.590779757433</v>
      </c>
      <c r="H14" s="11">
        <f t="shared" si="1"/>
        <v>6321625.8492913842</v>
      </c>
    </row>
    <row r="15" spans="1:13" x14ac:dyDescent="0.3">
      <c r="D15" s="11">
        <v>9</v>
      </c>
      <c r="E15" s="11">
        <f>INPUT!$C$3*((INPUT!$C$4/1200)*(1+INPUT!$C$4/1200)^INPUT!$C$5/((1+INPUT!$C$4/1200)^INPUT!$C$5-1))</f>
        <v>112734.52863015613</v>
      </c>
      <c r="F15" s="11">
        <f t="shared" si="0"/>
        <v>86394.420924775361</v>
      </c>
      <c r="G15" s="11">
        <f>H14*INPUT!$C$4/1200</f>
        <v>26340.107705380768</v>
      </c>
      <c r="H15" s="11">
        <f t="shared" si="1"/>
        <v>6235231.4283666089</v>
      </c>
    </row>
    <row r="16" spans="1:13" x14ac:dyDescent="0.3">
      <c r="D16" s="11">
        <v>10</v>
      </c>
      <c r="E16" s="11">
        <f>INPUT!$C$3*((INPUT!$C$4/1200)*(1+INPUT!$C$4/1200)^INPUT!$C$5/((1+INPUT!$C$4/1200)^INPUT!$C$5-1))</f>
        <v>112734.52863015613</v>
      </c>
      <c r="F16" s="11">
        <f t="shared" si="0"/>
        <v>86754.397678628593</v>
      </c>
      <c r="G16" s="11">
        <f>H15*INPUT!$C$4/1200</f>
        <v>25980.130951527539</v>
      </c>
      <c r="H16" s="11">
        <f t="shared" si="1"/>
        <v>6148477.0306879804</v>
      </c>
    </row>
    <row r="17" spans="4:8" x14ac:dyDescent="0.3">
      <c r="D17" s="11">
        <v>11</v>
      </c>
      <c r="E17" s="11">
        <f>INPUT!$C$3*((INPUT!$C$4/1200)*(1+INPUT!$C$4/1200)^INPUT!$C$5/((1+INPUT!$C$4/1200)^INPUT!$C$5-1))</f>
        <v>112734.52863015613</v>
      </c>
      <c r="F17" s="11">
        <f t="shared" si="0"/>
        <v>87115.874335622881</v>
      </c>
      <c r="G17" s="11">
        <f>H16*INPUT!$C$4/1200</f>
        <v>25618.654294533251</v>
      </c>
      <c r="H17" s="11">
        <f t="shared" si="1"/>
        <v>6061361.1563523579</v>
      </c>
    </row>
    <row r="18" spans="4:8" x14ac:dyDescent="0.3">
      <c r="D18" s="11">
        <v>12</v>
      </c>
      <c r="E18" s="11">
        <f>INPUT!$C$3*((INPUT!$C$4/1200)*(1+INPUT!$C$4/1200)^INPUT!$C$5/((1+INPUT!$C$4/1200)^INPUT!$C$5-1))</f>
        <v>112734.52863015613</v>
      </c>
      <c r="F18" s="11">
        <f t="shared" si="0"/>
        <v>87478.857145354646</v>
      </c>
      <c r="G18" s="11">
        <f>H17*INPUT!$C$4/1200</f>
        <v>25255.671484801489</v>
      </c>
      <c r="H18" s="11">
        <f t="shared" si="1"/>
        <v>5973882.2992070029</v>
      </c>
    </row>
    <row r="19" spans="4:8" x14ac:dyDescent="0.3">
      <c r="D19" s="11">
        <v>13</v>
      </c>
      <c r="E19" s="11">
        <f>INPUT!$C$3*((INPUT!$C$4/1200)*(1+INPUT!$C$4/1200)^INPUT!$C$5/((1+INPUT!$C$4/1200)^INPUT!$C$5-1))</f>
        <v>112734.52863015613</v>
      </c>
      <c r="F19" s="11">
        <f t="shared" si="0"/>
        <v>87843.352383460282</v>
      </c>
      <c r="G19" s="11">
        <f>H18*INPUT!$C$4/1200</f>
        <v>24891.176246695846</v>
      </c>
      <c r="H19" s="11">
        <f t="shared" si="1"/>
        <v>5886038.9468235429</v>
      </c>
    </row>
    <row r="20" spans="4:8" x14ac:dyDescent="0.3">
      <c r="D20" s="11">
        <v>14</v>
      </c>
      <c r="E20" s="11">
        <f>INPUT!$C$3*((INPUT!$C$4/1200)*(1+INPUT!$C$4/1200)^INPUT!$C$5/((1+INPUT!$C$4/1200)^INPUT!$C$5-1))</f>
        <v>112734.52863015613</v>
      </c>
      <c r="F20" s="11">
        <f t="shared" si="0"/>
        <v>88209.36635172469</v>
      </c>
      <c r="G20" s="11">
        <f>H19*INPUT!$C$4/1200</f>
        <v>24525.162278431431</v>
      </c>
      <c r="H20" s="11">
        <f t="shared" si="1"/>
        <v>5797829.5804718183</v>
      </c>
    </row>
    <row r="21" spans="4:8" x14ac:dyDescent="0.3">
      <c r="D21" s="11">
        <v>15</v>
      </c>
      <c r="E21" s="11">
        <f>INPUT!$C$3*((INPUT!$C$4/1200)*(1+INPUT!$C$4/1200)^INPUT!$C$5/((1+INPUT!$C$4/1200)^INPUT!$C$5-1))</f>
        <v>112734.52863015613</v>
      </c>
      <c r="F21" s="11">
        <f t="shared" si="0"/>
        <v>88576.905378190218</v>
      </c>
      <c r="G21" s="11">
        <f>H20*INPUT!$C$4/1200</f>
        <v>24157.62325196591</v>
      </c>
      <c r="H21" s="11">
        <f t="shared" si="1"/>
        <v>5709252.6750936285</v>
      </c>
    </row>
    <row r="22" spans="4:8" x14ac:dyDescent="0.3">
      <c r="D22" s="11">
        <v>16</v>
      </c>
      <c r="E22" s="11">
        <f>INPUT!$C$3*((INPUT!$C$4/1200)*(1+INPUT!$C$4/1200)^INPUT!$C$5/((1+INPUT!$C$4/1200)^INPUT!$C$5-1))</f>
        <v>112734.52863015613</v>
      </c>
      <c r="F22" s="11">
        <f t="shared" si="0"/>
        <v>88945.975817266008</v>
      </c>
      <c r="G22" s="11">
        <f>H21*INPUT!$C$4/1200</f>
        <v>23788.552812890117</v>
      </c>
      <c r="H22" s="11">
        <f t="shared" si="1"/>
        <v>5620306.6992763625</v>
      </c>
    </row>
    <row r="23" spans="4:8" x14ac:dyDescent="0.3">
      <c r="D23" s="11">
        <v>17</v>
      </c>
      <c r="E23" s="11">
        <f>INPUT!$C$3*((INPUT!$C$4/1200)*(1+INPUT!$C$4/1200)^INPUT!$C$5/((1+INPUT!$C$4/1200)^INPUT!$C$5-1))</f>
        <v>112734.52863015613</v>
      </c>
      <c r="F23" s="11">
        <f t="shared" si="0"/>
        <v>89316.584049837955</v>
      </c>
      <c r="G23" s="11">
        <f>H22*INPUT!$C$4/1200</f>
        <v>23417.944580318177</v>
      </c>
      <c r="H23" s="11">
        <f t="shared" si="1"/>
        <v>5530990.1152265249</v>
      </c>
    </row>
    <row r="24" spans="4:8" x14ac:dyDescent="0.3">
      <c r="D24" s="11">
        <v>18</v>
      </c>
      <c r="E24" s="11">
        <f>INPUT!$C$3*((INPUT!$C$4/1200)*(1+INPUT!$C$4/1200)^INPUT!$C$5/((1+INPUT!$C$4/1200)^INPUT!$C$5-1))</f>
        <v>112734.52863015613</v>
      </c>
      <c r="F24" s="11">
        <f t="shared" si="0"/>
        <v>89688.736483378947</v>
      </c>
      <c r="G24" s="11">
        <f>H23*INPUT!$C$4/1200</f>
        <v>23045.792146777188</v>
      </c>
      <c r="H24" s="11">
        <f t="shared" si="1"/>
        <v>5441301.3787431456</v>
      </c>
    </row>
    <row r="25" spans="4:8" x14ac:dyDescent="0.3">
      <c r="D25" s="11">
        <v>19</v>
      </c>
      <c r="E25" s="11">
        <f>INPUT!$C$3*((INPUT!$C$4/1200)*(1+INPUT!$C$4/1200)^INPUT!$C$5/((1+INPUT!$C$4/1200)^INPUT!$C$5-1))</f>
        <v>112734.52863015613</v>
      </c>
      <c r="F25" s="11">
        <f t="shared" si="0"/>
        <v>90062.439552059688</v>
      </c>
      <c r="G25" s="11">
        <f>H24*INPUT!$C$4/1200</f>
        <v>22672.08907809644</v>
      </c>
      <c r="H25" s="11">
        <f t="shared" si="1"/>
        <v>5351238.9391910862</v>
      </c>
    </row>
    <row r="26" spans="4:8" x14ac:dyDescent="0.3">
      <c r="D26" s="11">
        <v>20</v>
      </c>
      <c r="E26" s="11">
        <f>INPUT!$C$3*((INPUT!$C$4/1200)*(1+INPUT!$C$4/1200)^INPUT!$C$5/((1+INPUT!$C$4/1200)^INPUT!$C$5-1))</f>
        <v>112734.52863015613</v>
      </c>
      <c r="F26" s="11">
        <f t="shared" si="0"/>
        <v>90437.699716859934</v>
      </c>
      <c r="G26" s="11">
        <f>H25*INPUT!$C$4/1200</f>
        <v>22296.828913296195</v>
      </c>
      <c r="H26" s="11">
        <f t="shared" si="1"/>
        <v>5260801.2394742267</v>
      </c>
    </row>
    <row r="27" spans="4:8" x14ac:dyDescent="0.3">
      <c r="D27" s="11">
        <v>21</v>
      </c>
      <c r="E27" s="11">
        <f>INPUT!$C$3*((INPUT!$C$4/1200)*(1+INPUT!$C$4/1200)^INPUT!$C$5/((1+INPUT!$C$4/1200)^INPUT!$C$5-1))</f>
        <v>112734.52863015613</v>
      </c>
      <c r="F27" s="11">
        <f t="shared" si="0"/>
        <v>90814.523465680191</v>
      </c>
      <c r="G27" s="11">
        <f>H26*INPUT!$C$4/1200</f>
        <v>21920.005164475944</v>
      </c>
      <c r="H27" s="11">
        <f t="shared" si="1"/>
        <v>5169986.7160085468</v>
      </c>
    </row>
    <row r="28" spans="4:8" x14ac:dyDescent="0.3">
      <c r="D28" s="11">
        <v>22</v>
      </c>
      <c r="E28" s="11">
        <f>INPUT!$C$3*((INPUT!$C$4/1200)*(1+INPUT!$C$4/1200)^INPUT!$C$5/((1+INPUT!$C$4/1200)^INPUT!$C$5-1))</f>
        <v>112734.52863015613</v>
      </c>
      <c r="F28" s="11">
        <f t="shared" si="0"/>
        <v>91192.917313453858</v>
      </c>
      <c r="G28" s="11">
        <f>H27*INPUT!$C$4/1200</f>
        <v>21541.611316702278</v>
      </c>
      <c r="H28" s="11">
        <f t="shared" si="1"/>
        <v>5078793.798695093</v>
      </c>
    </row>
    <row r="29" spans="4:8" x14ac:dyDescent="0.3">
      <c r="D29" s="11">
        <v>23</v>
      </c>
      <c r="E29" s="11">
        <f>INPUT!$C$3*((INPUT!$C$4/1200)*(1+INPUT!$C$4/1200)^INPUT!$C$5/((1+INPUT!$C$4/1200)^INPUT!$C$5-1))</f>
        <v>112734.52863015613</v>
      </c>
      <c r="F29" s="11">
        <f t="shared" si="0"/>
        <v>91572.887802259909</v>
      </c>
      <c r="G29" s="11">
        <f>H28*INPUT!$C$4/1200</f>
        <v>21161.640827896223</v>
      </c>
      <c r="H29" s="11">
        <f t="shared" si="1"/>
        <v>4987220.910892833</v>
      </c>
    </row>
    <row r="30" spans="4:8" x14ac:dyDescent="0.3">
      <c r="D30" s="11">
        <v>24</v>
      </c>
      <c r="E30" s="11">
        <f>INPUT!$C$3*((INPUT!$C$4/1200)*(1+INPUT!$C$4/1200)^INPUT!$C$5/((1+INPUT!$C$4/1200)^INPUT!$C$5-1))</f>
        <v>112734.52863015613</v>
      </c>
      <c r="F30" s="11">
        <f t="shared" si="0"/>
        <v>91954.441501435998</v>
      </c>
      <c r="G30" s="11">
        <f>H29*INPUT!$C$4/1200</f>
        <v>20780.087128720137</v>
      </c>
      <c r="H30" s="11">
        <f t="shared" si="1"/>
        <v>4895266.4693913972</v>
      </c>
    </row>
    <row r="31" spans="4:8" x14ac:dyDescent="0.3">
      <c r="D31" s="11">
        <v>25</v>
      </c>
      <c r="E31" s="11">
        <f>INPUT!$C$3*((INPUT!$C$4/1200)*(1+INPUT!$C$4/1200)^INPUT!$C$5/((1+INPUT!$C$4/1200)^INPUT!$C$5-1))</f>
        <v>112734.52863015613</v>
      </c>
      <c r="F31" s="11">
        <f t="shared" si="0"/>
        <v>92337.585007691974</v>
      </c>
      <c r="G31" s="11">
        <f>H30*INPUT!$C$4/1200</f>
        <v>20396.943622464154</v>
      </c>
      <c r="H31" s="11">
        <f t="shared" si="1"/>
        <v>4802928.8843837054</v>
      </c>
    </row>
    <row r="32" spans="4:8" x14ac:dyDescent="0.3">
      <c r="D32" s="11">
        <v>26</v>
      </c>
      <c r="E32" s="11">
        <f>INPUT!$C$3*((INPUT!$C$4/1200)*(1+INPUT!$C$4/1200)^INPUT!$C$5/((1+INPUT!$C$4/1200)^INPUT!$C$5-1))</f>
        <v>112734.52863015613</v>
      </c>
      <c r="F32" s="11">
        <f t="shared" si="0"/>
        <v>92722.324945224027</v>
      </c>
      <c r="G32" s="11">
        <f>H31*INPUT!$C$4/1200</f>
        <v>20012.203684932105</v>
      </c>
      <c r="H32" s="11">
        <f t="shared" si="1"/>
        <v>4710206.559438481</v>
      </c>
    </row>
    <row r="33" spans="4:8" x14ac:dyDescent="0.3">
      <c r="D33" s="11">
        <v>27</v>
      </c>
      <c r="E33" s="11">
        <f>INPUT!$C$3*((INPUT!$C$4/1200)*(1+INPUT!$C$4/1200)^INPUT!$C$5/((1+INPUT!$C$4/1200)^INPUT!$C$5-1))</f>
        <v>112734.52863015613</v>
      </c>
      <c r="F33" s="11">
        <f t="shared" si="0"/>
        <v>93108.667965829125</v>
      </c>
      <c r="G33" s="11">
        <f>H32*INPUT!$C$4/1200</f>
        <v>19625.860664327003</v>
      </c>
      <c r="H33" s="11">
        <f t="shared" si="1"/>
        <v>4617097.8914726516</v>
      </c>
    </row>
    <row r="34" spans="4:8" x14ac:dyDescent="0.3">
      <c r="D34" s="11">
        <v>28</v>
      </c>
      <c r="E34" s="11">
        <f>INPUT!$C$3*((INPUT!$C$4/1200)*(1+INPUT!$C$4/1200)^INPUT!$C$5/((1+INPUT!$C$4/1200)^INPUT!$C$5-1))</f>
        <v>112734.52863015613</v>
      </c>
      <c r="F34" s="11">
        <f t="shared" si="0"/>
        <v>93496.620749020076</v>
      </c>
      <c r="G34" s="11">
        <f>H33*INPUT!$C$4/1200</f>
        <v>19237.907881136049</v>
      </c>
      <c r="H34" s="11">
        <f t="shared" si="1"/>
        <v>4523601.2707236316</v>
      </c>
    </row>
    <row r="35" spans="4:8" x14ac:dyDescent="0.3">
      <c r="D35" s="11">
        <v>29</v>
      </c>
      <c r="E35" s="11">
        <f>INPUT!$C$3*((INPUT!$C$4/1200)*(1+INPUT!$C$4/1200)^INPUT!$C$5/((1+INPUT!$C$4/1200)^INPUT!$C$5-1))</f>
        <v>112734.52863015613</v>
      </c>
      <c r="F35" s="11">
        <f t="shared" si="0"/>
        <v>93886.190002140997</v>
      </c>
      <c r="G35" s="11">
        <f>H34*INPUT!$C$4/1200</f>
        <v>18848.338628015132</v>
      </c>
      <c r="H35" s="11">
        <f t="shared" si="1"/>
        <v>4429715.080721491</v>
      </c>
    </row>
    <row r="36" spans="4:8" x14ac:dyDescent="0.3">
      <c r="D36" s="11">
        <v>30</v>
      </c>
      <c r="E36" s="11">
        <f>INPUT!$C$3*((INPUT!$C$4/1200)*(1+INPUT!$C$4/1200)^INPUT!$C$5/((1+INPUT!$C$4/1200)^INPUT!$C$5-1))</f>
        <v>112734.52863015613</v>
      </c>
      <c r="F36" s="11">
        <f t="shared" si="0"/>
        <v>94277.382460483248</v>
      </c>
      <c r="G36" s="11">
        <f>H35*INPUT!$C$4/1200</f>
        <v>18457.14616967288</v>
      </c>
      <c r="H36" s="11">
        <f t="shared" si="1"/>
        <v>4335437.6982610077</v>
      </c>
    </row>
    <row r="37" spans="4:8" x14ac:dyDescent="0.3">
      <c r="D37" s="11">
        <v>31</v>
      </c>
      <c r="E37" s="11">
        <f>INPUT!$C$3*((INPUT!$C$4/1200)*(1+INPUT!$C$4/1200)^INPUT!$C$5/((1+INPUT!$C$4/1200)^INPUT!$C$5-1))</f>
        <v>112734.52863015613</v>
      </c>
      <c r="F37" s="11">
        <f t="shared" si="0"/>
        <v>94670.204887401924</v>
      </c>
      <c r="G37" s="11">
        <f>H36*INPUT!$C$4/1200</f>
        <v>18064.323742754197</v>
      </c>
      <c r="H37" s="11">
        <f t="shared" si="1"/>
        <v>4240767.4933736054</v>
      </c>
    </row>
    <row r="38" spans="4:8" x14ac:dyDescent="0.3">
      <c r="D38" s="11">
        <v>32</v>
      </c>
      <c r="E38" s="11">
        <f>INPUT!$C$3*((INPUT!$C$4/1200)*(1+INPUT!$C$4/1200)^INPUT!$C$5/((1+INPUT!$C$4/1200)^INPUT!$C$5-1))</f>
        <v>112734.52863015613</v>
      </c>
      <c r="F38" s="11">
        <f t="shared" si="0"/>
        <v>95064.664074432774</v>
      </c>
      <c r="G38" s="11">
        <f>H37*INPUT!$C$4/1200</f>
        <v>17669.864555723358</v>
      </c>
      <c r="H38" s="11">
        <f t="shared" si="1"/>
        <v>4145702.8292991729</v>
      </c>
    </row>
    <row r="39" spans="4:8" x14ac:dyDescent="0.3">
      <c r="D39" s="11">
        <v>33</v>
      </c>
      <c r="E39" s="11">
        <f>INPUT!$C$3*((INPUT!$C$4/1200)*(1+INPUT!$C$4/1200)^INPUT!$C$5/((1+INPUT!$C$4/1200)^INPUT!$C$5-1))</f>
        <v>112734.52863015613</v>
      </c>
      <c r="F39" s="11">
        <f t="shared" si="0"/>
        <v>95460.766841409582</v>
      </c>
      <c r="G39" s="11">
        <f>H38*INPUT!$C$4/1200</f>
        <v>17273.761788746553</v>
      </c>
      <c r="H39" s="11">
        <f t="shared" si="1"/>
        <v>4050242.0624577631</v>
      </c>
    </row>
    <row r="40" spans="4:8" x14ac:dyDescent="0.3">
      <c r="D40" s="11">
        <v>34</v>
      </c>
      <c r="E40" s="11">
        <f>INPUT!$C$3*((INPUT!$C$4/1200)*(1+INPUT!$C$4/1200)^INPUT!$C$5/((1+INPUT!$C$4/1200)^INPUT!$C$5-1))</f>
        <v>112734.52863015613</v>
      </c>
      <c r="F40" s="11">
        <f t="shared" si="0"/>
        <v>95858.520036582107</v>
      </c>
      <c r="G40" s="11">
        <f>H39*INPUT!$C$4/1200</f>
        <v>16876.008593574014</v>
      </c>
      <c r="H40" s="11">
        <f t="shared" si="1"/>
        <v>3954383.5424211812</v>
      </c>
    </row>
    <row r="41" spans="4:8" x14ac:dyDescent="0.3">
      <c r="D41" s="11">
        <v>35</v>
      </c>
      <c r="E41" s="11">
        <f>INPUT!$C$3*((INPUT!$C$4/1200)*(1+INPUT!$C$4/1200)^INPUT!$C$5/((1+INPUT!$C$4/1200)^INPUT!$C$5-1))</f>
        <v>112734.52863015613</v>
      </c>
      <c r="F41" s="11">
        <f t="shared" si="0"/>
        <v>96257.930536734537</v>
      </c>
      <c r="G41" s="11">
        <f>H40*INPUT!$C$4/1200</f>
        <v>16476.598093421591</v>
      </c>
      <c r="H41" s="11">
        <f t="shared" si="1"/>
        <v>3858125.6118844468</v>
      </c>
    </row>
    <row r="42" spans="4:8" x14ac:dyDescent="0.3">
      <c r="D42" s="11">
        <v>36</v>
      </c>
      <c r="E42" s="11">
        <f>INPUT!$C$3*((INPUT!$C$4/1200)*(1+INPUT!$C$4/1200)^INPUT!$C$5/((1+INPUT!$C$4/1200)^INPUT!$C$5-1))</f>
        <v>112734.52863015613</v>
      </c>
      <c r="F42" s="11">
        <f t="shared" si="0"/>
        <v>96659.005247304274</v>
      </c>
      <c r="G42" s="11">
        <f>H41*INPUT!$C$4/1200</f>
        <v>16075.523382851859</v>
      </c>
      <c r="H42" s="11">
        <f t="shared" si="1"/>
        <v>3761466.6066371426</v>
      </c>
    </row>
    <row r="43" spans="4:8" x14ac:dyDescent="0.3">
      <c r="D43" s="11">
        <v>37</v>
      </c>
      <c r="E43" s="11">
        <f>INPUT!$C$3*((INPUT!$C$4/1200)*(1+INPUT!$C$4/1200)^INPUT!$C$5/((1+INPUT!$C$4/1200)^INPUT!$C$5-1))</f>
        <v>112734.52863015613</v>
      </c>
      <c r="F43" s="11">
        <f t="shared" si="0"/>
        <v>97061.751102501366</v>
      </c>
      <c r="G43" s="11">
        <f>H42*INPUT!$C$4/1200</f>
        <v>15672.77752765476</v>
      </c>
      <c r="H43" s="11">
        <f t="shared" si="1"/>
        <v>3664404.8555346411</v>
      </c>
    </row>
    <row r="44" spans="4:8" x14ac:dyDescent="0.3">
      <c r="D44" s="11">
        <v>38</v>
      </c>
      <c r="E44" s="11">
        <f>INPUT!$C$3*((INPUT!$C$4/1200)*(1+INPUT!$C$4/1200)^INPUT!$C$5/((1+INPUT!$C$4/1200)^INPUT!$C$5-1))</f>
        <v>112734.52863015613</v>
      </c>
      <c r="F44" s="11">
        <f t="shared" si="0"/>
        <v>97466.175065428455</v>
      </c>
      <c r="G44" s="11">
        <f>H43*INPUT!$C$4/1200</f>
        <v>15268.353564727673</v>
      </c>
      <c r="H44" s="11">
        <f t="shared" si="1"/>
        <v>3566938.6804692126</v>
      </c>
    </row>
    <row r="45" spans="4:8" x14ac:dyDescent="0.3">
      <c r="D45" s="11">
        <v>39</v>
      </c>
      <c r="E45" s="11">
        <f>INPUT!$C$3*((INPUT!$C$4/1200)*(1+INPUT!$C$4/1200)^INPUT!$C$5/((1+INPUT!$C$4/1200)^INPUT!$C$5-1))</f>
        <v>112734.52863015613</v>
      </c>
      <c r="F45" s="11">
        <f t="shared" si="0"/>
        <v>97872.284128201078</v>
      </c>
      <c r="G45" s="11">
        <f>H44*INPUT!$C$4/1200</f>
        <v>14862.244501955052</v>
      </c>
      <c r="H45" s="11">
        <f t="shared" si="1"/>
        <v>3469066.3963410114</v>
      </c>
    </row>
    <row r="46" spans="4:8" x14ac:dyDescent="0.3">
      <c r="D46" s="11">
        <v>40</v>
      </c>
      <c r="E46" s="11">
        <f>INPUT!$C$3*((INPUT!$C$4/1200)*(1+INPUT!$C$4/1200)^INPUT!$C$5/((1+INPUT!$C$4/1200)^INPUT!$C$5-1))</f>
        <v>112734.52863015613</v>
      </c>
      <c r="F46" s="11">
        <f t="shared" si="0"/>
        <v>98280.085312068579</v>
      </c>
      <c r="G46" s="11">
        <f>H45*INPUT!$C$4/1200</f>
        <v>14454.443318087549</v>
      </c>
      <c r="H46" s="11">
        <f t="shared" si="1"/>
        <v>3370786.3110289429</v>
      </c>
    </row>
    <row r="47" spans="4:8" x14ac:dyDescent="0.3">
      <c r="D47" s="11">
        <v>41</v>
      </c>
      <c r="E47" s="11">
        <f>INPUT!$C$3*((INPUT!$C$4/1200)*(1+INPUT!$C$4/1200)^INPUT!$C$5/((1+INPUT!$C$4/1200)^INPUT!$C$5-1))</f>
        <v>112734.52863015613</v>
      </c>
      <c r="F47" s="11">
        <f t="shared" si="0"/>
        <v>98689.585667535532</v>
      </c>
      <c r="G47" s="11">
        <f>H46*INPUT!$C$4/1200</f>
        <v>14044.942962620597</v>
      </c>
      <c r="H47" s="11">
        <f t="shared" si="1"/>
        <v>3272096.7253614073</v>
      </c>
    </row>
    <row r="48" spans="4:8" x14ac:dyDescent="0.3">
      <c r="D48" s="11">
        <v>42</v>
      </c>
      <c r="E48" s="11">
        <f>INPUT!$C$3*((INPUT!$C$4/1200)*(1+INPUT!$C$4/1200)^INPUT!$C$5/((1+INPUT!$C$4/1200)^INPUT!$C$5-1))</f>
        <v>112734.52863015613</v>
      </c>
      <c r="F48" s="11">
        <f t="shared" si="0"/>
        <v>99100.792274483596</v>
      </c>
      <c r="G48" s="11">
        <f>H47*INPUT!$C$4/1200</f>
        <v>13633.73635567253</v>
      </c>
      <c r="H48" s="11">
        <f t="shared" si="1"/>
        <v>3172995.9330869238</v>
      </c>
    </row>
    <row r="49" spans="4:8" x14ac:dyDescent="0.3">
      <c r="D49" s="11">
        <v>43</v>
      </c>
      <c r="E49" s="11">
        <f>INPUT!$C$3*((INPUT!$C$4/1200)*(1+INPUT!$C$4/1200)^INPUT!$C$5/((1+INPUT!$C$4/1200)^INPUT!$C$5-1))</f>
        <v>112734.52863015613</v>
      </c>
      <c r="F49" s="11">
        <f t="shared" si="0"/>
        <v>99513.712242293943</v>
      </c>
      <c r="G49" s="11">
        <f>H48*INPUT!$C$4/1200</f>
        <v>13220.816387862184</v>
      </c>
      <c r="H49" s="11">
        <f t="shared" si="1"/>
        <v>3073482.2208446297</v>
      </c>
    </row>
    <row r="50" spans="4:8" x14ac:dyDescent="0.3">
      <c r="D50" s="11">
        <v>44</v>
      </c>
      <c r="E50" s="11">
        <f>INPUT!$C$3*((INPUT!$C$4/1200)*(1+INPUT!$C$4/1200)^INPUT!$C$5/((1+INPUT!$C$4/1200)^INPUT!$C$5-1))</f>
        <v>112734.52863015613</v>
      </c>
      <c r="F50" s="11">
        <f t="shared" si="0"/>
        <v>99928.352709970175</v>
      </c>
      <c r="G50" s="11">
        <f>H49*INPUT!$C$4/1200</f>
        <v>12806.175920185957</v>
      </c>
      <c r="H50" s="11">
        <f t="shared" si="1"/>
        <v>2973553.8681346597</v>
      </c>
    </row>
    <row r="51" spans="4:8" x14ac:dyDescent="0.3">
      <c r="D51" s="11">
        <v>45</v>
      </c>
      <c r="E51" s="11">
        <f>INPUT!$C$3*((INPUT!$C$4/1200)*(1+INPUT!$C$4/1200)^INPUT!$C$5/((1+INPUT!$C$4/1200)^INPUT!$C$5-1))</f>
        <v>112734.52863015613</v>
      </c>
      <c r="F51" s="11">
        <f t="shared" si="0"/>
        <v>100344.72084626171</v>
      </c>
      <c r="G51" s="11">
        <f>H50*INPUT!$C$4/1200</f>
        <v>12389.807783894415</v>
      </c>
      <c r="H51" s="11">
        <f t="shared" si="1"/>
        <v>2873209.1472883979</v>
      </c>
    </row>
    <row r="52" spans="4:8" x14ac:dyDescent="0.3">
      <c r="D52" s="11">
        <v>46</v>
      </c>
      <c r="E52" s="11">
        <f>INPUT!$C$3*((INPUT!$C$4/1200)*(1+INPUT!$C$4/1200)^INPUT!$C$5/((1+INPUT!$C$4/1200)^INPUT!$C$5-1))</f>
        <v>112734.52863015613</v>
      </c>
      <c r="F52" s="11">
        <f t="shared" si="0"/>
        <v>100762.8238497878</v>
      </c>
      <c r="G52" s="11">
        <f>H51*INPUT!$C$4/1200</f>
        <v>11971.704780368324</v>
      </c>
      <c r="H52" s="11">
        <f t="shared" si="1"/>
        <v>2772446.32343861</v>
      </c>
    </row>
    <row r="53" spans="4:8" x14ac:dyDescent="0.3">
      <c r="D53" s="11">
        <v>47</v>
      </c>
      <c r="E53" s="11">
        <f>INPUT!$C$3*((INPUT!$C$4/1200)*(1+INPUT!$C$4/1200)^INPUT!$C$5/((1+INPUT!$C$4/1200)^INPUT!$C$5-1))</f>
        <v>112734.52863015613</v>
      </c>
      <c r="F53" s="11">
        <f t="shared" si="0"/>
        <v>101182.66894916192</v>
      </c>
      <c r="G53" s="11">
        <f>H52*INPUT!$C$4/1200</f>
        <v>11551.859680994208</v>
      </c>
      <c r="H53" s="11">
        <f t="shared" si="1"/>
        <v>2671263.6544894478</v>
      </c>
    </row>
    <row r="54" spans="4:8" x14ac:dyDescent="0.3">
      <c r="D54" s="11">
        <v>48</v>
      </c>
      <c r="E54" s="11">
        <f>INPUT!$C$3*((INPUT!$C$4/1200)*(1+INPUT!$C$4/1200)^INPUT!$C$5/((1+INPUT!$C$4/1200)^INPUT!$C$5-1))</f>
        <v>112734.52863015613</v>
      </c>
      <c r="F54" s="11">
        <f t="shared" si="0"/>
        <v>101604.26340311675</v>
      </c>
      <c r="G54" s="11">
        <f>H53*INPUT!$C$4/1200</f>
        <v>11130.265227039366</v>
      </c>
      <c r="H54" s="11">
        <f t="shared" si="1"/>
        <v>2569659.3910863311</v>
      </c>
    </row>
    <row r="55" spans="4:8" x14ac:dyDescent="0.3">
      <c r="D55" s="11">
        <v>49</v>
      </c>
      <c r="E55" s="11">
        <f>INPUT!$C$3*((INPUT!$C$4/1200)*(1+INPUT!$C$4/1200)^INPUT!$C$5/((1+INPUT!$C$4/1200)^INPUT!$C$5-1))</f>
        <v>112734.52863015613</v>
      </c>
      <c r="F55" s="11">
        <f t="shared" si="0"/>
        <v>102027.61450062974</v>
      </c>
      <c r="G55" s="11">
        <f>H54*INPUT!$C$4/1200</f>
        <v>10706.91412952638</v>
      </c>
      <c r="H55" s="11">
        <f t="shared" si="1"/>
        <v>2467631.7765857014</v>
      </c>
    </row>
    <row r="56" spans="4:8" x14ac:dyDescent="0.3">
      <c r="D56" s="11">
        <v>50</v>
      </c>
      <c r="E56" s="11">
        <f>INPUT!$C$3*((INPUT!$C$4/1200)*(1+INPUT!$C$4/1200)^INPUT!$C$5/((1+INPUT!$C$4/1200)^INPUT!$C$5-1))</f>
        <v>112734.52863015613</v>
      </c>
      <c r="F56" s="11">
        <f t="shared" si="0"/>
        <v>102452.72956104904</v>
      </c>
      <c r="G56" s="11">
        <f>H55*INPUT!$C$4/1200</f>
        <v>10281.79906910709</v>
      </c>
      <c r="H56" s="11">
        <f t="shared" si="1"/>
        <v>2365179.0470246524</v>
      </c>
    </row>
    <row r="57" spans="4:8" x14ac:dyDescent="0.3">
      <c r="D57" s="11">
        <v>51</v>
      </c>
      <c r="E57" s="11">
        <f>INPUT!$C$3*((INPUT!$C$4/1200)*(1+INPUT!$C$4/1200)^INPUT!$C$5/((1+INPUT!$C$4/1200)^INPUT!$C$5-1))</f>
        <v>112734.52863015613</v>
      </c>
      <c r="F57" s="11">
        <f t="shared" si="0"/>
        <v>102879.61593422008</v>
      </c>
      <c r="G57" s="11">
        <f>H56*INPUT!$C$4/1200</f>
        <v>9854.912695936051</v>
      </c>
      <c r="H57" s="11">
        <f t="shared" si="1"/>
        <v>2262299.4310904322</v>
      </c>
    </row>
    <row r="58" spans="4:8" x14ac:dyDescent="0.3">
      <c r="D58" s="11">
        <v>52</v>
      </c>
      <c r="E58" s="11">
        <f>INPUT!$C$3*((INPUT!$C$4/1200)*(1+INPUT!$C$4/1200)^INPUT!$C$5/((1+INPUT!$C$4/1200)^INPUT!$C$5-1))</f>
        <v>112734.52863015613</v>
      </c>
      <c r="F58" s="11">
        <f t="shared" si="0"/>
        <v>103308.28100061265</v>
      </c>
      <c r="G58" s="11">
        <f>H57*INPUT!$C$4/1200</f>
        <v>9426.2476295434681</v>
      </c>
      <c r="H58" s="11">
        <f t="shared" si="1"/>
        <v>2158991.1500898194</v>
      </c>
    </row>
    <row r="59" spans="4:8" x14ac:dyDescent="0.3">
      <c r="D59" s="11">
        <v>53</v>
      </c>
      <c r="E59" s="11">
        <f>INPUT!$C$3*((INPUT!$C$4/1200)*(1+INPUT!$C$4/1200)^INPUT!$C$5/((1+INPUT!$C$4/1200)^INPUT!$C$5-1))</f>
        <v>112734.52863015613</v>
      </c>
      <c r="F59" s="11">
        <f t="shared" si="0"/>
        <v>103738.73217144854</v>
      </c>
      <c r="G59" s="11">
        <f>H58*INPUT!$C$4/1200</f>
        <v>8995.7964587075803</v>
      </c>
      <c r="H59" s="11">
        <f t="shared" si="1"/>
        <v>2055252.4179183708</v>
      </c>
    </row>
    <row r="60" spans="4:8" x14ac:dyDescent="0.3">
      <c r="D60" s="11">
        <v>54</v>
      </c>
      <c r="E60" s="11">
        <f>INPUT!$C$3*((INPUT!$C$4/1200)*(1+INPUT!$C$4/1200)^INPUT!$C$5/((1+INPUT!$C$4/1200)^INPUT!$C$5-1))</f>
        <v>112734.52863015613</v>
      </c>
      <c r="F60" s="11">
        <f t="shared" si="0"/>
        <v>104170.97688882958</v>
      </c>
      <c r="G60" s="11">
        <f>H59*INPUT!$C$4/1200</f>
        <v>8563.5517413265443</v>
      </c>
      <c r="H60" s="11">
        <f t="shared" si="1"/>
        <v>1951081.4410295412</v>
      </c>
    </row>
    <row r="61" spans="4:8" x14ac:dyDescent="0.3">
      <c r="D61" s="11">
        <v>55</v>
      </c>
      <c r="E61" s="11">
        <f>INPUT!$C$3*((INPUT!$C$4/1200)*(1+INPUT!$C$4/1200)^INPUT!$C$5/((1+INPUT!$C$4/1200)^INPUT!$C$5-1))</f>
        <v>112734.52863015613</v>
      </c>
      <c r="F61" s="11">
        <f t="shared" si="0"/>
        <v>104605.02262586638</v>
      </c>
      <c r="G61" s="11">
        <f>H60*INPUT!$C$4/1200</f>
        <v>8129.5060042897549</v>
      </c>
      <c r="H61" s="11">
        <f t="shared" si="1"/>
        <v>1846476.4184036748</v>
      </c>
    </row>
    <row r="62" spans="4:8" x14ac:dyDescent="0.3">
      <c r="D62" s="11">
        <v>56</v>
      </c>
      <c r="E62" s="11">
        <f>INPUT!$C$3*((INPUT!$C$4/1200)*(1+INPUT!$C$4/1200)^INPUT!$C$5/((1+INPUT!$C$4/1200)^INPUT!$C$5-1))</f>
        <v>112734.52863015613</v>
      </c>
      <c r="F62" s="11">
        <f t="shared" si="0"/>
        <v>105040.87688680748</v>
      </c>
      <c r="G62" s="11">
        <f>H61*INPUT!$C$4/1200</f>
        <v>7693.6517433486442</v>
      </c>
      <c r="H62" s="11">
        <f t="shared" si="1"/>
        <v>1741435.5415168675</v>
      </c>
    </row>
    <row r="63" spans="4:8" x14ac:dyDescent="0.3">
      <c r="D63" s="11">
        <v>57</v>
      </c>
      <c r="E63" s="11">
        <f>INPUT!$C$3*((INPUT!$C$4/1200)*(1+INPUT!$C$4/1200)^INPUT!$C$5/((1+INPUT!$C$4/1200)^INPUT!$C$5-1))</f>
        <v>112734.52863015613</v>
      </c>
      <c r="F63" s="11">
        <f t="shared" si="0"/>
        <v>105478.54720716918</v>
      </c>
      <c r="G63" s="11">
        <f>H62*INPUT!$C$4/1200</f>
        <v>7255.9814229869471</v>
      </c>
      <c r="H63" s="11">
        <f t="shared" si="1"/>
        <v>1635956.9943096982</v>
      </c>
    </row>
    <row r="64" spans="4:8" x14ac:dyDescent="0.3">
      <c r="D64" s="11">
        <v>58</v>
      </c>
      <c r="E64" s="11">
        <f>INPUT!$C$3*((INPUT!$C$4/1200)*(1+INPUT!$C$4/1200)^INPUT!$C$5/((1+INPUT!$C$4/1200)^INPUT!$C$5-1))</f>
        <v>112734.52863015613</v>
      </c>
      <c r="F64" s="11">
        <f t="shared" si="0"/>
        <v>105918.04115386572</v>
      </c>
      <c r="G64" s="11">
        <f>H63*INPUT!$C$4/1200</f>
        <v>6816.4874762904092</v>
      </c>
      <c r="H64" s="11">
        <f t="shared" si="1"/>
        <v>1530038.9531558326</v>
      </c>
    </row>
    <row r="65" spans="4:8" x14ac:dyDescent="0.3">
      <c r="D65" s="11">
        <v>59</v>
      </c>
      <c r="E65" s="11">
        <f>INPUT!$C$3*((INPUT!$C$4/1200)*(1+INPUT!$C$4/1200)^INPUT!$C$5/((1+INPUT!$C$4/1200)^INPUT!$C$5-1))</f>
        <v>112734.52863015613</v>
      </c>
      <c r="F65" s="11">
        <f t="shared" si="0"/>
        <v>106359.36632534016</v>
      </c>
      <c r="G65" s="11">
        <f>H64*INPUT!$C$4/1200</f>
        <v>6375.162304815969</v>
      </c>
      <c r="H65" s="11">
        <f t="shared" si="1"/>
        <v>1423679.5868304924</v>
      </c>
    </row>
    <row r="66" spans="4:8" x14ac:dyDescent="0.3">
      <c r="D66" s="11">
        <v>60</v>
      </c>
      <c r="E66" s="11">
        <f>INPUT!$C$3*((INPUT!$C$4/1200)*(1+INPUT!$C$4/1200)^INPUT!$C$5/((1+INPUT!$C$4/1200)^INPUT!$C$5-1))</f>
        <v>112734.52863015613</v>
      </c>
      <c r="F66" s="11">
        <f t="shared" si="0"/>
        <v>106802.53035169575</v>
      </c>
      <c r="G66" s="11">
        <f>H65*INPUT!$C$4/1200</f>
        <v>5931.9982784603844</v>
      </c>
      <c r="H66" s="11">
        <f t="shared" si="1"/>
        <v>1316877.0564787965</v>
      </c>
    </row>
    <row r="67" spans="4:8" x14ac:dyDescent="0.3">
      <c r="D67" s="11">
        <v>61</v>
      </c>
      <c r="E67" s="11">
        <f>INPUT!$C$3*((INPUT!$C$4/1200)*(1+INPUT!$C$4/1200)^INPUT!$C$5/((1+INPUT!$C$4/1200)^INPUT!$C$5-1))</f>
        <v>112734.52863015613</v>
      </c>
      <c r="F67" s="11">
        <f t="shared" si="0"/>
        <v>107247.54089482781</v>
      </c>
      <c r="G67" s="11">
        <f>H66*INPUT!$C$4/1200</f>
        <v>5486.9877353283191</v>
      </c>
      <c r="H67" s="11">
        <f t="shared" si="1"/>
        <v>1209629.5155839687</v>
      </c>
    </row>
    <row r="68" spans="4:8" x14ac:dyDescent="0.3">
      <c r="D68" s="11">
        <v>62</v>
      </c>
      <c r="E68" s="11">
        <f>INPUT!$C$3*((INPUT!$C$4/1200)*(1+INPUT!$C$4/1200)^INPUT!$C$5/((1+INPUT!$C$4/1200)^INPUT!$C$5-1))</f>
        <v>112734.52863015613</v>
      </c>
      <c r="F68" s="11">
        <f t="shared" si="0"/>
        <v>107694.40564855626</v>
      </c>
      <c r="G68" s="11">
        <f>H67*INPUT!$C$4/1200</f>
        <v>5040.1229815998695</v>
      </c>
      <c r="H68" s="11">
        <f t="shared" si="1"/>
        <v>1101935.1099354124</v>
      </c>
    </row>
    <row r="69" spans="4:8" x14ac:dyDescent="0.3">
      <c r="D69" s="11">
        <v>63</v>
      </c>
      <c r="E69" s="11">
        <f>INPUT!$C$3*((INPUT!$C$4/1200)*(1+INPUT!$C$4/1200)^INPUT!$C$5/((1+INPUT!$C$4/1200)^INPUT!$C$5-1))</f>
        <v>112734.52863015613</v>
      </c>
      <c r="F69" s="11">
        <f t="shared" si="0"/>
        <v>108143.13233875857</v>
      </c>
      <c r="G69" s="11">
        <f>H68*INPUT!$C$4/1200</f>
        <v>4591.396291397552</v>
      </c>
      <c r="H69" s="11">
        <f t="shared" si="1"/>
        <v>993791.97759665386</v>
      </c>
    </row>
    <row r="70" spans="4:8" x14ac:dyDescent="0.3">
      <c r="D70" s="11">
        <v>64</v>
      </c>
      <c r="E70" s="11">
        <f>INPUT!$C$3*((INPUT!$C$4/1200)*(1+INPUT!$C$4/1200)^INPUT!$C$5/((1+INPUT!$C$4/1200)^INPUT!$C$5-1))</f>
        <v>112734.52863015613</v>
      </c>
      <c r="F70" s="11">
        <f t="shared" si="0"/>
        <v>108593.7287235034</v>
      </c>
      <c r="G70" s="11">
        <f>H69*INPUT!$C$4/1200</f>
        <v>4140.7999066527245</v>
      </c>
      <c r="H70" s="11">
        <f t="shared" si="1"/>
        <v>885198.24887315044</v>
      </c>
    </row>
    <row r="71" spans="4:8" x14ac:dyDescent="0.3">
      <c r="D71" s="11">
        <v>65</v>
      </c>
      <c r="E71" s="11">
        <f>INPUT!$C$3*((INPUT!$C$4/1200)*(1+INPUT!$C$4/1200)^INPUT!$C$5/((1+INPUT!$C$4/1200)^INPUT!$C$5-1))</f>
        <v>112734.52863015613</v>
      </c>
      <c r="F71" s="11">
        <f t="shared" si="0"/>
        <v>109046.20259318467</v>
      </c>
      <c r="G71" s="11">
        <f>H70*INPUT!$C$4/1200</f>
        <v>3688.3260369714599</v>
      </c>
      <c r="H71" s="11">
        <f t="shared" si="1"/>
        <v>776152.04627996578</v>
      </c>
    </row>
    <row r="72" spans="4:8" x14ac:dyDescent="0.3">
      <c r="D72" s="11">
        <v>66</v>
      </c>
      <c r="E72" s="11">
        <f>INPUT!$C$3*((INPUT!$C$4/1200)*(1+INPUT!$C$4/1200)^INPUT!$C$5/((1+INPUT!$C$4/1200)^INPUT!$C$5-1))</f>
        <v>112734.52863015613</v>
      </c>
      <c r="F72" s="11">
        <f t="shared" si="0"/>
        <v>109500.56177065628</v>
      </c>
      <c r="G72" s="11">
        <f>H71*INPUT!$C$4/1200</f>
        <v>3233.9668594998575</v>
      </c>
      <c r="H72" s="11">
        <f t="shared" si="1"/>
        <v>666651.48450930952</v>
      </c>
    </row>
    <row r="73" spans="4:8" x14ac:dyDescent="0.3">
      <c r="D73" s="11">
        <v>67</v>
      </c>
      <c r="E73" s="11">
        <f>INPUT!$C$3*((INPUT!$C$4/1200)*(1+INPUT!$C$4/1200)^INPUT!$C$5/((1+INPUT!$C$4/1200)^INPUT!$C$5-1))</f>
        <v>112734.52863015613</v>
      </c>
      <c r="F73" s="11">
        <f t="shared" ref="F73:F78" si="2">E73-G73</f>
        <v>109956.81411136733</v>
      </c>
      <c r="G73" s="11">
        <f>H72*INPUT!$C$4/1200</f>
        <v>2777.71451878879</v>
      </c>
      <c r="H73" s="11">
        <f t="shared" ref="H73:H78" si="3">H72-F73</f>
        <v>556694.67039794219</v>
      </c>
    </row>
    <row r="74" spans="4:8" x14ac:dyDescent="0.3">
      <c r="D74" s="11">
        <v>68</v>
      </c>
      <c r="E74" s="11">
        <f>INPUT!$C$3*((INPUT!$C$4/1200)*(1+INPUT!$C$4/1200)^INPUT!$C$5/((1+INPUT!$C$4/1200)^INPUT!$C$5-1))</f>
        <v>112734.52863015613</v>
      </c>
      <c r="F74" s="11">
        <f t="shared" si="2"/>
        <v>110414.96750349803</v>
      </c>
      <c r="G74" s="11">
        <f>H73*INPUT!$C$4/1200</f>
        <v>2319.5611266580922</v>
      </c>
      <c r="H74" s="11">
        <f t="shared" si="3"/>
        <v>446279.70289444417</v>
      </c>
    </row>
    <row r="75" spans="4:8" x14ac:dyDescent="0.3">
      <c r="D75" s="11">
        <v>69</v>
      </c>
      <c r="E75" s="11">
        <f>INPUT!$C$3*((INPUT!$C$4/1200)*(1+INPUT!$C$4/1200)^INPUT!$C$5/((1+INPUT!$C$4/1200)^INPUT!$C$5-1))</f>
        <v>112734.52863015613</v>
      </c>
      <c r="F75" s="11">
        <f t="shared" si="2"/>
        <v>110875.02986809594</v>
      </c>
      <c r="G75" s="11">
        <f>H74*INPUT!$C$4/1200</f>
        <v>1859.4987620601842</v>
      </c>
      <c r="H75" s="11">
        <f t="shared" si="3"/>
        <v>335404.67302634823</v>
      </c>
    </row>
    <row r="76" spans="4:8" x14ac:dyDescent="0.3">
      <c r="D76" s="11">
        <v>70</v>
      </c>
      <c r="E76" s="11">
        <f>INPUT!$C$3*((INPUT!$C$4/1200)*(1+INPUT!$C$4/1200)^INPUT!$C$5/((1+INPUT!$C$4/1200)^INPUT!$C$5-1))</f>
        <v>112734.52863015613</v>
      </c>
      <c r="F76" s="11">
        <f t="shared" si="2"/>
        <v>111337.009159213</v>
      </c>
      <c r="G76" s="11">
        <f>H75*INPUT!$C$4/1200</f>
        <v>1397.5194709431175</v>
      </c>
      <c r="H76" s="11">
        <f t="shared" si="3"/>
        <v>224067.66386713524</v>
      </c>
    </row>
    <row r="77" spans="4:8" x14ac:dyDescent="0.3">
      <c r="D77" s="11">
        <v>71</v>
      </c>
      <c r="E77" s="11">
        <f>INPUT!$C$3*((INPUT!$C$4/1200)*(1+INPUT!$C$4/1200)^INPUT!$C$5/((1+INPUT!$C$4/1200)^INPUT!$C$5-1))</f>
        <v>112734.52863015613</v>
      </c>
      <c r="F77" s="11">
        <f t="shared" si="2"/>
        <v>111800.91336404307</v>
      </c>
      <c r="G77" s="11">
        <f>H76*INPUT!$C$4/1200</f>
        <v>933.61526611306351</v>
      </c>
      <c r="H77" s="11">
        <f t="shared" si="3"/>
        <v>112266.75050309217</v>
      </c>
    </row>
    <row r="78" spans="4:8" x14ac:dyDescent="0.3">
      <c r="D78" s="11">
        <v>72</v>
      </c>
      <c r="E78" s="11">
        <f>INPUT!$C$3*((INPUT!$C$4/1200)*(1+INPUT!$C$4/1200)^INPUT!$C$5/((1+INPUT!$C$4/1200)^INPUT!$C$5-1))</f>
        <v>112734.52863015613</v>
      </c>
      <c r="F78" s="11">
        <f t="shared" si="2"/>
        <v>112266.75050305991</v>
      </c>
      <c r="G78" s="11">
        <f>H77*INPUT!$C$4/1200</f>
        <v>467.77812709621736</v>
      </c>
      <c r="H78" s="11">
        <f t="shared" si="3"/>
        <v>3.226159606128931E-8</v>
      </c>
    </row>
    <row r="79" spans="4:8" x14ac:dyDescent="0.3">
      <c r="D79" s="13" t="s">
        <v>6</v>
      </c>
      <c r="E79" s="14">
        <f>SUM(E7:E78)</f>
        <v>8116886.061371238</v>
      </c>
      <c r="F79" s="14">
        <f t="shared" ref="F79:G79" si="4">SUM(F7:F78)</f>
        <v>6999999.9999999693</v>
      </c>
      <c r="G79" s="14">
        <f t="shared" si="4"/>
        <v>1116886.0613712717</v>
      </c>
      <c r="H79" s="15"/>
    </row>
  </sheetData>
  <mergeCells count="1">
    <mergeCell ref="D5:H5"/>
  </mergeCells>
  <pageMargins left="0.7" right="0.7" top="0.75" bottom="0.75" header="0.3" footer="0.3"/>
  <pageSetup paperSize="9" orientation="portrait" r:id="rId1"/>
  <headerFooter>
    <oddHeader>&amp;L&amp;"Calibri"&amp;10&amp;K000000ВНУТРЕННЯЯ ИНФОРМАЦИЯ&amp;1#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E5EBC-3274-4AC4-9EFA-6F52F7FCE0C1}">
  <dimension ref="A2:N80"/>
  <sheetViews>
    <sheetView workbookViewId="0">
      <selection activeCell="M14" sqref="M14"/>
    </sheetView>
  </sheetViews>
  <sheetFormatPr defaultRowHeight="14.4" x14ac:dyDescent="0.3"/>
  <cols>
    <col min="1" max="1" width="15.88671875" customWidth="1"/>
    <col min="2" max="2" width="12.109375" customWidth="1"/>
    <col min="4" max="4" width="7.33203125" bestFit="1" customWidth="1"/>
    <col min="5" max="8" width="14.6640625" customWidth="1"/>
    <col min="11" max="13" width="13.77734375" customWidth="1"/>
  </cols>
  <sheetData>
    <row r="2" spans="1:14" x14ac:dyDescent="0.3">
      <c r="A2" s="8"/>
      <c r="B2" s="10"/>
    </row>
    <row r="3" spans="1:14" x14ac:dyDescent="0.3">
      <c r="A3" s="8"/>
      <c r="B3" s="10"/>
    </row>
    <row r="4" spans="1:14" ht="15" thickBot="1" x14ac:dyDescent="0.35">
      <c r="A4" s="8"/>
      <c r="B4" s="10"/>
    </row>
    <row r="5" spans="1:14" ht="16.2" thickBot="1" x14ac:dyDescent="0.35">
      <c r="D5" s="49" t="s">
        <v>11</v>
      </c>
      <c r="E5" s="49"/>
      <c r="F5" s="49"/>
      <c r="G5" s="49"/>
      <c r="H5" s="49"/>
    </row>
    <row r="6" spans="1:14" ht="45.6" thickBot="1" x14ac:dyDescent="0.35">
      <c r="D6" s="24" t="s">
        <v>5</v>
      </c>
      <c r="E6" s="24" t="s">
        <v>7</v>
      </c>
      <c r="F6" s="24" t="s">
        <v>8</v>
      </c>
      <c r="G6" s="24" t="s">
        <v>9</v>
      </c>
      <c r="H6" s="24" t="s">
        <v>10</v>
      </c>
      <c r="K6" s="24" t="s">
        <v>12</v>
      </c>
      <c r="L6" s="24" t="s">
        <v>8</v>
      </c>
      <c r="M6" s="24" t="s">
        <v>9</v>
      </c>
      <c r="N6" s="23"/>
    </row>
    <row r="7" spans="1:14" ht="15" thickBot="1" x14ac:dyDescent="0.35">
      <c r="D7" s="18">
        <v>1</v>
      </c>
      <c r="E7" s="19">
        <f>INPUT!$C$3/INPUT!$C$5+(INPUT!$C$3-(INPUT!$C$3/INPUT!$C$5)*(D7-1))*INPUT!$C$4/1200</f>
        <v>126388.88888888889</v>
      </c>
      <c r="F7" s="19">
        <f>E7-G7</f>
        <v>97222.222222222219</v>
      </c>
      <c r="G7" s="19">
        <f>INPUT!C3*INPUT!C4/1200</f>
        <v>29166.666666666668</v>
      </c>
      <c r="H7" s="19">
        <f>INPUT!C3-F7</f>
        <v>6902777.777777778</v>
      </c>
      <c r="J7" s="25" t="s">
        <v>6</v>
      </c>
      <c r="K7" s="30">
        <v>8064583.333333333</v>
      </c>
      <c r="L7" s="30">
        <v>6999999.9999999898</v>
      </c>
      <c r="M7" s="30">
        <v>1064583.3333333347</v>
      </c>
    </row>
    <row r="8" spans="1:14" x14ac:dyDescent="0.3">
      <c r="D8" s="16">
        <v>2</v>
      </c>
      <c r="E8" s="17">
        <f>INPUT!$C$3/INPUT!$C$5+(INPUT!$C$3-(INPUT!$C$3/INPUT!$C$5)*(D8-1))*INPUT!$C$4/1200</f>
        <v>125983.79629629629</v>
      </c>
      <c r="F8" s="17">
        <f t="shared" ref="F8:F71" si="0">E8-G8</f>
        <v>97222.222222222219</v>
      </c>
      <c r="G8" s="17">
        <f>H7*INPUT!$C$4/1200</f>
        <v>28761.574074074073</v>
      </c>
      <c r="H8" s="17">
        <f>H7-F8</f>
        <v>6805555.555555556</v>
      </c>
    </row>
    <row r="9" spans="1:14" x14ac:dyDescent="0.3">
      <c r="D9" s="16">
        <v>3</v>
      </c>
      <c r="E9" s="17">
        <f>INPUT!$C$3/INPUT!$C$5+(INPUT!$C$3-(INPUT!$C$3/INPUT!$C$5)*(D9-1))*INPUT!$C$4/1200</f>
        <v>125578.70370370371</v>
      </c>
      <c r="F9" s="17">
        <f t="shared" si="0"/>
        <v>97222.222222222219</v>
      </c>
      <c r="G9" s="17">
        <f>H8*INPUT!$C$4/1200</f>
        <v>28356.481481481482</v>
      </c>
      <c r="H9" s="17">
        <f t="shared" ref="H9:H72" si="1">H8-F9</f>
        <v>6708333.333333334</v>
      </c>
    </row>
    <row r="10" spans="1:14" x14ac:dyDescent="0.3">
      <c r="D10" s="16">
        <v>4</v>
      </c>
      <c r="E10" s="17">
        <f>INPUT!$C$3/INPUT!$C$5+(INPUT!$C$3-(INPUT!$C$3/INPUT!$C$5)*(D10-1))*INPUT!$C$4/1200</f>
        <v>125173.61111111111</v>
      </c>
      <c r="F10" s="17">
        <f t="shared" si="0"/>
        <v>97222.222222222219</v>
      </c>
      <c r="G10" s="17">
        <f>H9*INPUT!$C$4/1200</f>
        <v>27951.388888888894</v>
      </c>
      <c r="H10" s="17">
        <f t="shared" si="1"/>
        <v>6611111.1111111119</v>
      </c>
    </row>
    <row r="11" spans="1:14" x14ac:dyDescent="0.3">
      <c r="D11" s="16">
        <v>5</v>
      </c>
      <c r="E11" s="17">
        <f>INPUT!$C$3/INPUT!$C$5+(INPUT!$C$3-(INPUT!$C$3/INPUT!$C$5)*(D11-1))*INPUT!$C$4/1200</f>
        <v>124768.51851851851</v>
      </c>
      <c r="F11" s="17">
        <f t="shared" si="0"/>
        <v>97222.222222222219</v>
      </c>
      <c r="G11" s="17">
        <f>H10*INPUT!$C$4/1200</f>
        <v>27546.296296296299</v>
      </c>
      <c r="H11" s="17">
        <f t="shared" si="1"/>
        <v>6513888.8888888899</v>
      </c>
    </row>
    <row r="12" spans="1:14" x14ac:dyDescent="0.3">
      <c r="D12" s="16">
        <v>6</v>
      </c>
      <c r="E12" s="17">
        <f>INPUT!$C$3/INPUT!$C$5+(INPUT!$C$3-(INPUT!$C$3/INPUT!$C$5)*(D12-1))*INPUT!$C$4/1200</f>
        <v>124363.42592592593</v>
      </c>
      <c r="F12" s="17">
        <f t="shared" si="0"/>
        <v>97222.222222222219</v>
      </c>
      <c r="G12" s="17">
        <f>H11*INPUT!$C$4/1200</f>
        <v>27141.203703703708</v>
      </c>
      <c r="H12" s="17">
        <f t="shared" si="1"/>
        <v>6416666.6666666679</v>
      </c>
    </row>
    <row r="13" spans="1:14" x14ac:dyDescent="0.3">
      <c r="D13" s="16">
        <v>7</v>
      </c>
      <c r="E13" s="17">
        <f>INPUT!$C$3/INPUT!$C$5+(INPUT!$C$3-(INPUT!$C$3/INPUT!$C$5)*(D13-1))*INPUT!$C$4/1200</f>
        <v>123958.33333333333</v>
      </c>
      <c r="F13" s="17">
        <f t="shared" si="0"/>
        <v>97222.222222222219</v>
      </c>
      <c r="G13" s="17">
        <f>H12*INPUT!$C$4/1200</f>
        <v>26736.111111111117</v>
      </c>
      <c r="H13" s="17">
        <f t="shared" si="1"/>
        <v>6319444.4444444459</v>
      </c>
    </row>
    <row r="14" spans="1:14" x14ac:dyDescent="0.3">
      <c r="C14" s="1"/>
      <c r="D14" s="16">
        <v>8</v>
      </c>
      <c r="E14" s="17">
        <f>INPUT!$C$3/INPUT!$C$5+(INPUT!$C$3-(INPUT!$C$3/INPUT!$C$5)*(D14-1))*INPUT!$C$4/1200</f>
        <v>123553.24074074073</v>
      </c>
      <c r="F14" s="17">
        <f t="shared" si="0"/>
        <v>97222.222222222204</v>
      </c>
      <c r="G14" s="17">
        <f>H13*INPUT!$C$4/1200</f>
        <v>26331.018518518526</v>
      </c>
      <c r="H14" s="17">
        <f t="shared" si="1"/>
        <v>6222222.2222222239</v>
      </c>
    </row>
    <row r="15" spans="1:14" x14ac:dyDescent="0.3">
      <c r="D15" s="16">
        <v>9</v>
      </c>
      <c r="E15" s="17">
        <f>INPUT!$C$3/INPUT!$C$5+(INPUT!$C$3-(INPUT!$C$3/INPUT!$C$5)*(D15-1))*INPUT!$C$4/1200</f>
        <v>123148.14814814815</v>
      </c>
      <c r="F15" s="17">
        <f t="shared" si="0"/>
        <v>97222.222222222219</v>
      </c>
      <c r="G15" s="17">
        <f>H14*INPUT!$C$4/1200</f>
        <v>25925.925925925934</v>
      </c>
      <c r="H15" s="17">
        <f t="shared" si="1"/>
        <v>6125000.0000000019</v>
      </c>
    </row>
    <row r="16" spans="1:14" x14ac:dyDescent="0.3">
      <c r="D16" s="16">
        <v>10</v>
      </c>
      <c r="E16" s="17">
        <f>INPUT!$C$3/INPUT!$C$5+(INPUT!$C$3-(INPUT!$C$3/INPUT!$C$5)*(D16-1))*INPUT!$C$4/1200</f>
        <v>122743.05555555555</v>
      </c>
      <c r="F16" s="17">
        <f t="shared" si="0"/>
        <v>97222.222222222204</v>
      </c>
      <c r="G16" s="17">
        <f>H15*INPUT!$C$4/1200</f>
        <v>25520.833333333339</v>
      </c>
      <c r="H16" s="17">
        <f t="shared" si="1"/>
        <v>6027777.7777777798</v>
      </c>
    </row>
    <row r="17" spans="4:8" x14ac:dyDescent="0.3">
      <c r="D17" s="16">
        <v>11</v>
      </c>
      <c r="E17" s="17">
        <f>INPUT!$C$3/INPUT!$C$5+(INPUT!$C$3-(INPUT!$C$3/INPUT!$C$5)*(D17-1))*INPUT!$C$4/1200</f>
        <v>122337.96296296296</v>
      </c>
      <c r="F17" s="17">
        <f t="shared" si="0"/>
        <v>97222.222222222219</v>
      </c>
      <c r="G17" s="17">
        <f>H16*INPUT!$C$4/1200</f>
        <v>25115.740740740748</v>
      </c>
      <c r="H17" s="17">
        <f t="shared" si="1"/>
        <v>5930555.5555555578</v>
      </c>
    </row>
    <row r="18" spans="4:8" x14ac:dyDescent="0.3">
      <c r="D18" s="16">
        <v>12</v>
      </c>
      <c r="E18" s="17">
        <f>INPUT!$C$3/INPUT!$C$5+(INPUT!$C$3-(INPUT!$C$3/INPUT!$C$5)*(D18-1))*INPUT!$C$4/1200</f>
        <v>121932.87037037036</v>
      </c>
      <c r="F18" s="17">
        <f t="shared" si="0"/>
        <v>97222.222222222204</v>
      </c>
      <c r="G18" s="17">
        <f>H17*INPUT!$C$4/1200</f>
        <v>24710.648148148161</v>
      </c>
      <c r="H18" s="17">
        <f t="shared" si="1"/>
        <v>5833333.3333333358</v>
      </c>
    </row>
    <row r="19" spans="4:8" x14ac:dyDescent="0.3">
      <c r="D19" s="16">
        <v>13</v>
      </c>
      <c r="E19" s="17">
        <f>INPUT!$C$3/INPUT!$C$5+(INPUT!$C$3-(INPUT!$C$3/INPUT!$C$5)*(D19-1))*INPUT!$C$4/1200</f>
        <v>121527.77777777778</v>
      </c>
      <c r="F19" s="17">
        <f t="shared" si="0"/>
        <v>97222.222222222219</v>
      </c>
      <c r="G19" s="17">
        <f>H18*INPUT!$C$4/1200</f>
        <v>24305.555555555566</v>
      </c>
      <c r="H19" s="17">
        <f t="shared" si="1"/>
        <v>5736111.1111111138</v>
      </c>
    </row>
    <row r="20" spans="4:8" x14ac:dyDescent="0.3">
      <c r="D20" s="16">
        <v>14</v>
      </c>
      <c r="E20" s="17">
        <f>INPUT!$C$3/INPUT!$C$5+(INPUT!$C$3-(INPUT!$C$3/INPUT!$C$5)*(D20-1))*INPUT!$C$4/1200</f>
        <v>121122.68518518518</v>
      </c>
      <c r="F20" s="17">
        <f t="shared" si="0"/>
        <v>97222.222222222204</v>
      </c>
      <c r="G20" s="17">
        <f>H19*INPUT!$C$4/1200</f>
        <v>23900.462962962974</v>
      </c>
      <c r="H20" s="17">
        <f t="shared" si="1"/>
        <v>5638888.8888888918</v>
      </c>
    </row>
    <row r="21" spans="4:8" x14ac:dyDescent="0.3">
      <c r="D21" s="16">
        <v>15</v>
      </c>
      <c r="E21" s="17">
        <f>INPUT!$C$3/INPUT!$C$5+(INPUT!$C$3-(INPUT!$C$3/INPUT!$C$5)*(D21-1))*INPUT!$C$4/1200</f>
        <v>120717.59259259258</v>
      </c>
      <c r="F21" s="17">
        <f t="shared" si="0"/>
        <v>97222.222222222204</v>
      </c>
      <c r="G21" s="17">
        <f>H20*INPUT!$C$4/1200</f>
        <v>23495.370370370383</v>
      </c>
      <c r="H21" s="17">
        <f t="shared" si="1"/>
        <v>5541666.6666666698</v>
      </c>
    </row>
    <row r="22" spans="4:8" x14ac:dyDescent="0.3">
      <c r="D22" s="16">
        <v>16</v>
      </c>
      <c r="E22" s="17">
        <f>INPUT!$C$3/INPUT!$C$5+(INPUT!$C$3-(INPUT!$C$3/INPUT!$C$5)*(D22-1))*INPUT!$C$4/1200</f>
        <v>120312.5</v>
      </c>
      <c r="F22" s="17">
        <f t="shared" si="0"/>
        <v>97222.222222222204</v>
      </c>
      <c r="G22" s="17">
        <f>H21*INPUT!$C$4/1200</f>
        <v>23090.277777777792</v>
      </c>
      <c r="H22" s="17">
        <f t="shared" si="1"/>
        <v>5444444.4444444478</v>
      </c>
    </row>
    <row r="23" spans="4:8" x14ac:dyDescent="0.3">
      <c r="D23" s="16">
        <v>17</v>
      </c>
      <c r="E23" s="17">
        <f>INPUT!$C$3/INPUT!$C$5+(INPUT!$C$3-(INPUT!$C$3/INPUT!$C$5)*(D23-1))*INPUT!$C$4/1200</f>
        <v>119907.4074074074</v>
      </c>
      <c r="F23" s="17">
        <f t="shared" si="0"/>
        <v>97222.222222222204</v>
      </c>
      <c r="G23" s="17">
        <f>H22*INPUT!$C$4/1200</f>
        <v>22685.185185185201</v>
      </c>
      <c r="H23" s="17">
        <f t="shared" si="1"/>
        <v>5347222.2222222257</v>
      </c>
    </row>
    <row r="24" spans="4:8" x14ac:dyDescent="0.3">
      <c r="D24" s="16">
        <v>18</v>
      </c>
      <c r="E24" s="17">
        <f>INPUT!$C$3/INPUT!$C$5+(INPUT!$C$3-(INPUT!$C$3/INPUT!$C$5)*(D24-1))*INPUT!$C$4/1200</f>
        <v>119502.31481481482</v>
      </c>
      <c r="F24" s="17">
        <f t="shared" si="0"/>
        <v>97222.222222222219</v>
      </c>
      <c r="G24" s="17">
        <f>H23*INPUT!$C$4/1200</f>
        <v>22280.092592592606</v>
      </c>
      <c r="H24" s="17">
        <f t="shared" si="1"/>
        <v>5250000.0000000037</v>
      </c>
    </row>
    <row r="25" spans="4:8" x14ac:dyDescent="0.3">
      <c r="D25" s="16">
        <v>19</v>
      </c>
      <c r="E25" s="17">
        <f>INPUT!$C$3/INPUT!$C$5+(INPUT!$C$3-(INPUT!$C$3/INPUT!$C$5)*(D25-1))*INPUT!$C$4/1200</f>
        <v>119097.22222222222</v>
      </c>
      <c r="F25" s="17">
        <f t="shared" si="0"/>
        <v>97222.222222222204</v>
      </c>
      <c r="G25" s="17">
        <f>H24*INPUT!$C$4/1200</f>
        <v>21875.000000000015</v>
      </c>
      <c r="H25" s="17">
        <f t="shared" si="1"/>
        <v>5152777.7777777817</v>
      </c>
    </row>
    <row r="26" spans="4:8" x14ac:dyDescent="0.3">
      <c r="D26" s="16">
        <v>20</v>
      </c>
      <c r="E26" s="17">
        <f>INPUT!$C$3/INPUT!$C$5+(INPUT!$C$3-(INPUT!$C$3/INPUT!$C$5)*(D26-1))*INPUT!$C$4/1200</f>
        <v>118692.12962962962</v>
      </c>
      <c r="F26" s="17">
        <f t="shared" si="0"/>
        <v>97222.22222222219</v>
      </c>
      <c r="G26" s="17">
        <f>H25*INPUT!$C$4/1200</f>
        <v>21469.907407407427</v>
      </c>
      <c r="H26" s="17">
        <f t="shared" si="1"/>
        <v>5055555.5555555597</v>
      </c>
    </row>
    <row r="27" spans="4:8" x14ac:dyDescent="0.3">
      <c r="D27" s="16">
        <v>21</v>
      </c>
      <c r="E27" s="17">
        <f>INPUT!$C$3/INPUT!$C$5+(INPUT!$C$3-(INPUT!$C$3/INPUT!$C$5)*(D27-1))*INPUT!$C$4/1200</f>
        <v>118287.03703703704</v>
      </c>
      <c r="F27" s="17">
        <f t="shared" si="0"/>
        <v>97222.222222222204</v>
      </c>
      <c r="G27" s="17">
        <f>H26*INPUT!$C$4/1200</f>
        <v>21064.814814814832</v>
      </c>
      <c r="H27" s="17">
        <f t="shared" si="1"/>
        <v>4958333.3333333377</v>
      </c>
    </row>
    <row r="28" spans="4:8" x14ac:dyDescent="0.3">
      <c r="D28" s="16">
        <v>22</v>
      </c>
      <c r="E28" s="17">
        <f>INPUT!$C$3/INPUT!$C$5+(INPUT!$C$3-(INPUT!$C$3/INPUT!$C$5)*(D28-1))*INPUT!$C$4/1200</f>
        <v>117881.94444444444</v>
      </c>
      <c r="F28" s="17">
        <f t="shared" si="0"/>
        <v>97222.222222222204</v>
      </c>
      <c r="G28" s="17">
        <f>H27*INPUT!$C$4/1200</f>
        <v>20659.722222222237</v>
      </c>
      <c r="H28" s="17">
        <f t="shared" si="1"/>
        <v>4861111.1111111157</v>
      </c>
    </row>
    <row r="29" spans="4:8" x14ac:dyDescent="0.3">
      <c r="D29" s="16">
        <v>23</v>
      </c>
      <c r="E29" s="17">
        <f>INPUT!$C$3/INPUT!$C$5+(INPUT!$C$3-(INPUT!$C$3/INPUT!$C$5)*(D29-1))*INPUT!$C$4/1200</f>
        <v>117476.85185185185</v>
      </c>
      <c r="F29" s="17">
        <f t="shared" si="0"/>
        <v>97222.222222222204</v>
      </c>
      <c r="G29" s="17">
        <f>H28*INPUT!$C$4/1200</f>
        <v>20254.62962962965</v>
      </c>
      <c r="H29" s="17">
        <f t="shared" si="1"/>
        <v>4763888.8888888936</v>
      </c>
    </row>
    <row r="30" spans="4:8" x14ac:dyDescent="0.3">
      <c r="D30" s="16">
        <v>24</v>
      </c>
      <c r="E30" s="17">
        <f>INPUT!$C$3/INPUT!$C$5+(INPUT!$C$3-(INPUT!$C$3/INPUT!$C$5)*(D30-1))*INPUT!$C$4/1200</f>
        <v>117071.75925925926</v>
      </c>
      <c r="F30" s="17">
        <f t="shared" si="0"/>
        <v>97222.22222222219</v>
      </c>
      <c r="G30" s="17">
        <f>H29*INPUT!$C$4/1200</f>
        <v>19849.537037037058</v>
      </c>
      <c r="H30" s="17">
        <f t="shared" si="1"/>
        <v>4666666.6666666716</v>
      </c>
    </row>
    <row r="31" spans="4:8" x14ac:dyDescent="0.3">
      <c r="D31" s="16">
        <v>25</v>
      </c>
      <c r="E31" s="17">
        <f>INPUT!$C$3/INPUT!$C$5+(INPUT!$C$3-(INPUT!$C$3/INPUT!$C$5)*(D31-1))*INPUT!$C$4/1200</f>
        <v>116666.66666666666</v>
      </c>
      <c r="F31" s="17">
        <f t="shared" si="0"/>
        <v>97222.22222222219</v>
      </c>
      <c r="G31" s="17">
        <f>H30*INPUT!$C$4/1200</f>
        <v>19444.444444444463</v>
      </c>
      <c r="H31" s="17">
        <f t="shared" si="1"/>
        <v>4569444.4444444496</v>
      </c>
    </row>
    <row r="32" spans="4:8" x14ac:dyDescent="0.3">
      <c r="D32" s="16">
        <v>26</v>
      </c>
      <c r="E32" s="17">
        <f>INPUT!$C$3/INPUT!$C$5+(INPUT!$C$3-(INPUT!$C$3/INPUT!$C$5)*(D32-1))*INPUT!$C$4/1200</f>
        <v>116261.57407407407</v>
      </c>
      <c r="F32" s="17">
        <f t="shared" si="0"/>
        <v>97222.222222222204</v>
      </c>
      <c r="G32" s="17">
        <f>H31*INPUT!$C$4/1200</f>
        <v>19039.351851851872</v>
      </c>
      <c r="H32" s="17">
        <f t="shared" si="1"/>
        <v>4472222.2222222276</v>
      </c>
    </row>
    <row r="33" spans="4:8" x14ac:dyDescent="0.3">
      <c r="D33" s="16">
        <v>27</v>
      </c>
      <c r="E33" s="17">
        <f>INPUT!$C$3/INPUT!$C$5+(INPUT!$C$3-(INPUT!$C$3/INPUT!$C$5)*(D33-1))*INPUT!$C$4/1200</f>
        <v>115856.48148148147</v>
      </c>
      <c r="F33" s="17">
        <f t="shared" si="0"/>
        <v>97222.22222222219</v>
      </c>
      <c r="G33" s="17">
        <f>H32*INPUT!$C$4/1200</f>
        <v>18634.259259259281</v>
      </c>
      <c r="H33" s="17">
        <f t="shared" si="1"/>
        <v>4375000.0000000056</v>
      </c>
    </row>
    <row r="34" spans="4:8" x14ac:dyDescent="0.3">
      <c r="D34" s="16">
        <v>28</v>
      </c>
      <c r="E34" s="17">
        <f>INPUT!$C$3/INPUT!$C$5+(INPUT!$C$3-(INPUT!$C$3/INPUT!$C$5)*(D34-1))*INPUT!$C$4/1200</f>
        <v>115451.38888888889</v>
      </c>
      <c r="F34" s="17">
        <f t="shared" si="0"/>
        <v>97222.222222222204</v>
      </c>
      <c r="G34" s="17">
        <f>H33*INPUT!$C$4/1200</f>
        <v>18229.16666666669</v>
      </c>
      <c r="H34" s="17">
        <f t="shared" si="1"/>
        <v>4277777.7777777836</v>
      </c>
    </row>
    <row r="35" spans="4:8" x14ac:dyDescent="0.3">
      <c r="D35" s="16">
        <v>29</v>
      </c>
      <c r="E35" s="17">
        <f>INPUT!$C$3/INPUT!$C$5+(INPUT!$C$3-(INPUT!$C$3/INPUT!$C$5)*(D35-1))*INPUT!$C$4/1200</f>
        <v>115046.29629629629</v>
      </c>
      <c r="F35" s="17">
        <f t="shared" si="0"/>
        <v>97222.22222222219</v>
      </c>
      <c r="G35" s="17">
        <f>H34*INPUT!$C$4/1200</f>
        <v>17824.074074074098</v>
      </c>
      <c r="H35" s="17">
        <f t="shared" si="1"/>
        <v>4180555.5555555616</v>
      </c>
    </row>
    <row r="36" spans="4:8" x14ac:dyDescent="0.3">
      <c r="D36" s="16">
        <v>30</v>
      </c>
      <c r="E36" s="17">
        <f>INPUT!$C$3/INPUT!$C$5+(INPUT!$C$3-(INPUT!$C$3/INPUT!$C$5)*(D36-1))*INPUT!$C$4/1200</f>
        <v>114641.20370370371</v>
      </c>
      <c r="F36" s="17">
        <f t="shared" si="0"/>
        <v>97222.222222222204</v>
      </c>
      <c r="G36" s="17">
        <f>H35*INPUT!$C$4/1200</f>
        <v>17418.981481481504</v>
      </c>
      <c r="H36" s="17">
        <f t="shared" si="1"/>
        <v>4083333.3333333395</v>
      </c>
    </row>
    <row r="37" spans="4:8" x14ac:dyDescent="0.3">
      <c r="D37" s="16">
        <v>31</v>
      </c>
      <c r="E37" s="17">
        <f>INPUT!$C$3/INPUT!$C$5+(INPUT!$C$3-(INPUT!$C$3/INPUT!$C$5)*(D37-1))*INPUT!$C$4/1200</f>
        <v>114236.11111111111</v>
      </c>
      <c r="F37" s="17">
        <f t="shared" si="0"/>
        <v>97222.22222222219</v>
      </c>
      <c r="G37" s="17">
        <f>H36*INPUT!$C$4/1200</f>
        <v>17013.888888888916</v>
      </c>
      <c r="H37" s="17">
        <f t="shared" si="1"/>
        <v>3986111.1111111175</v>
      </c>
    </row>
    <row r="38" spans="4:8" x14ac:dyDescent="0.3">
      <c r="D38" s="16">
        <v>32</v>
      </c>
      <c r="E38" s="17">
        <f>INPUT!$C$3/INPUT!$C$5+(INPUT!$C$3-(INPUT!$C$3/INPUT!$C$5)*(D38-1))*INPUT!$C$4/1200</f>
        <v>113831.01851851851</v>
      </c>
      <c r="F38" s="17">
        <f t="shared" si="0"/>
        <v>97222.22222222219</v>
      </c>
      <c r="G38" s="17">
        <f>H37*INPUT!$C$4/1200</f>
        <v>16608.796296296325</v>
      </c>
      <c r="H38" s="17">
        <f t="shared" si="1"/>
        <v>3888888.8888888955</v>
      </c>
    </row>
    <row r="39" spans="4:8" x14ac:dyDescent="0.3">
      <c r="D39" s="16">
        <v>33</v>
      </c>
      <c r="E39" s="17">
        <f>INPUT!$C$3/INPUT!$C$5+(INPUT!$C$3-(INPUT!$C$3/INPUT!$C$5)*(D39-1))*INPUT!$C$4/1200</f>
        <v>113425.92592592593</v>
      </c>
      <c r="F39" s="17">
        <f t="shared" si="0"/>
        <v>97222.22222222219</v>
      </c>
      <c r="G39" s="17">
        <f>H38*INPUT!$C$4/1200</f>
        <v>16203.703703703732</v>
      </c>
      <c r="H39" s="17">
        <f t="shared" si="1"/>
        <v>3791666.6666666735</v>
      </c>
    </row>
    <row r="40" spans="4:8" x14ac:dyDescent="0.3">
      <c r="D40" s="16">
        <v>34</v>
      </c>
      <c r="E40" s="17">
        <f>INPUT!$C$3/INPUT!$C$5+(INPUT!$C$3-(INPUT!$C$3/INPUT!$C$5)*(D40-1))*INPUT!$C$4/1200</f>
        <v>113020.83333333333</v>
      </c>
      <c r="F40" s="17">
        <f t="shared" si="0"/>
        <v>97222.22222222219</v>
      </c>
      <c r="G40" s="17">
        <f>H39*INPUT!$C$4/1200</f>
        <v>15798.611111111139</v>
      </c>
      <c r="H40" s="17">
        <f t="shared" si="1"/>
        <v>3694444.4444444515</v>
      </c>
    </row>
    <row r="41" spans="4:8" x14ac:dyDescent="0.3">
      <c r="D41" s="16">
        <v>35</v>
      </c>
      <c r="E41" s="17">
        <f>INPUT!$C$3/INPUT!$C$5+(INPUT!$C$3-(INPUT!$C$3/INPUT!$C$5)*(D41-1))*INPUT!$C$4/1200</f>
        <v>112615.74074074074</v>
      </c>
      <c r="F41" s="17">
        <f t="shared" si="0"/>
        <v>97222.22222222219</v>
      </c>
      <c r="G41" s="17">
        <f>H40*INPUT!$C$4/1200</f>
        <v>15393.518518518547</v>
      </c>
      <c r="H41" s="17">
        <f t="shared" si="1"/>
        <v>3597222.2222222295</v>
      </c>
    </row>
    <row r="42" spans="4:8" x14ac:dyDescent="0.3">
      <c r="D42" s="16">
        <v>36</v>
      </c>
      <c r="E42" s="17">
        <f>INPUT!$C$3/INPUT!$C$5+(INPUT!$C$3-(INPUT!$C$3/INPUT!$C$5)*(D42-1))*INPUT!$C$4/1200</f>
        <v>112210.64814814815</v>
      </c>
      <c r="F42" s="17">
        <f t="shared" si="0"/>
        <v>97222.22222222219</v>
      </c>
      <c r="G42" s="17">
        <f>H41*INPUT!$C$4/1200</f>
        <v>14988.425925925958</v>
      </c>
      <c r="H42" s="17">
        <f t="shared" si="1"/>
        <v>3500000.0000000075</v>
      </c>
    </row>
    <row r="43" spans="4:8" x14ac:dyDescent="0.3">
      <c r="D43" s="16">
        <v>37</v>
      </c>
      <c r="E43" s="17">
        <f>INPUT!$C$3/INPUT!$C$5+(INPUT!$C$3-(INPUT!$C$3/INPUT!$C$5)*(D43-1))*INPUT!$C$4/1200</f>
        <v>111805.55555555555</v>
      </c>
      <c r="F43" s="17">
        <f t="shared" si="0"/>
        <v>97222.22222222219</v>
      </c>
      <c r="G43" s="17">
        <f>H42*INPUT!$C$4/1200</f>
        <v>14583.333333333365</v>
      </c>
      <c r="H43" s="17">
        <f t="shared" si="1"/>
        <v>3402777.7777777854</v>
      </c>
    </row>
    <row r="44" spans="4:8" x14ac:dyDescent="0.3">
      <c r="D44" s="16">
        <v>38</v>
      </c>
      <c r="E44" s="17">
        <f>INPUT!$C$3/INPUT!$C$5+(INPUT!$C$3-(INPUT!$C$3/INPUT!$C$5)*(D44-1))*INPUT!$C$4/1200</f>
        <v>111400.46296296296</v>
      </c>
      <c r="F44" s="17">
        <f t="shared" si="0"/>
        <v>97222.22222222219</v>
      </c>
      <c r="G44" s="17">
        <f>H43*INPUT!$C$4/1200</f>
        <v>14178.240740740772</v>
      </c>
      <c r="H44" s="17">
        <f t="shared" si="1"/>
        <v>3305555.5555555634</v>
      </c>
    </row>
    <row r="45" spans="4:8" x14ac:dyDescent="0.3">
      <c r="D45" s="16">
        <v>39</v>
      </c>
      <c r="E45" s="17">
        <f>INPUT!$C$3/INPUT!$C$5+(INPUT!$C$3-(INPUT!$C$3/INPUT!$C$5)*(D45-1))*INPUT!$C$4/1200</f>
        <v>110995.37037037036</v>
      </c>
      <c r="F45" s="17">
        <f t="shared" si="0"/>
        <v>97222.22222222219</v>
      </c>
      <c r="G45" s="17">
        <f>H44*INPUT!$C$4/1200</f>
        <v>13773.148148148181</v>
      </c>
      <c r="H45" s="17">
        <f t="shared" si="1"/>
        <v>3208333.3333333414</v>
      </c>
    </row>
    <row r="46" spans="4:8" x14ac:dyDescent="0.3">
      <c r="D46" s="16">
        <v>40</v>
      </c>
      <c r="E46" s="17">
        <f>INPUT!$C$3/INPUT!$C$5+(INPUT!$C$3-(INPUT!$C$3/INPUT!$C$5)*(D46-1))*INPUT!$C$4/1200</f>
        <v>110590.27777777778</v>
      </c>
      <c r="F46" s="17">
        <f t="shared" si="0"/>
        <v>97222.22222222219</v>
      </c>
      <c r="G46" s="17">
        <f>H45*INPUT!$C$4/1200</f>
        <v>13368.055555555589</v>
      </c>
      <c r="H46" s="17">
        <f t="shared" si="1"/>
        <v>3111111.1111111194</v>
      </c>
    </row>
    <row r="47" spans="4:8" x14ac:dyDescent="0.3">
      <c r="D47" s="16">
        <v>41</v>
      </c>
      <c r="E47" s="17">
        <f>INPUT!$C$3/INPUT!$C$5+(INPUT!$C$3-(INPUT!$C$3/INPUT!$C$5)*(D47-1))*INPUT!$C$4/1200</f>
        <v>110185.18518518518</v>
      </c>
      <c r="F47" s="17">
        <f t="shared" si="0"/>
        <v>97222.22222222219</v>
      </c>
      <c r="G47" s="17">
        <f>H46*INPUT!$C$4/1200</f>
        <v>12962.962962962998</v>
      </c>
      <c r="H47" s="17">
        <f t="shared" si="1"/>
        <v>3013888.8888888974</v>
      </c>
    </row>
    <row r="48" spans="4:8" x14ac:dyDescent="0.3">
      <c r="D48" s="16">
        <v>42</v>
      </c>
      <c r="E48" s="17">
        <f>INPUT!$C$3/INPUT!$C$5+(INPUT!$C$3-(INPUT!$C$3/INPUT!$C$5)*(D48-1))*INPUT!$C$4/1200</f>
        <v>109780.09259259258</v>
      </c>
      <c r="F48" s="17">
        <f t="shared" si="0"/>
        <v>97222.222222222175</v>
      </c>
      <c r="G48" s="17">
        <f>H47*INPUT!$C$4/1200</f>
        <v>12557.870370370405</v>
      </c>
      <c r="H48" s="17">
        <f t="shared" si="1"/>
        <v>2916666.6666666754</v>
      </c>
    </row>
    <row r="49" spans="4:8" x14ac:dyDescent="0.3">
      <c r="D49" s="16">
        <v>43</v>
      </c>
      <c r="E49" s="17">
        <f>INPUT!$C$3/INPUT!$C$5+(INPUT!$C$3-(INPUT!$C$3/INPUT!$C$5)*(D49-1))*INPUT!$C$4/1200</f>
        <v>109375</v>
      </c>
      <c r="F49" s="17">
        <f t="shared" si="0"/>
        <v>97222.22222222219</v>
      </c>
      <c r="G49" s="17">
        <f>H48*INPUT!$C$4/1200</f>
        <v>12152.777777777814</v>
      </c>
      <c r="H49" s="17">
        <f t="shared" si="1"/>
        <v>2819444.4444444533</v>
      </c>
    </row>
    <row r="50" spans="4:8" x14ac:dyDescent="0.3">
      <c r="D50" s="16">
        <v>44</v>
      </c>
      <c r="E50" s="17">
        <f>INPUT!$C$3/INPUT!$C$5+(INPUT!$C$3-(INPUT!$C$3/INPUT!$C$5)*(D50-1))*INPUT!$C$4/1200</f>
        <v>108969.9074074074</v>
      </c>
      <c r="F50" s="17">
        <f t="shared" si="0"/>
        <v>97222.222222222175</v>
      </c>
      <c r="G50" s="17">
        <f>H49*INPUT!$C$4/1200</f>
        <v>11747.685185185223</v>
      </c>
      <c r="H50" s="17">
        <f t="shared" si="1"/>
        <v>2722222.2222222313</v>
      </c>
    </row>
    <row r="51" spans="4:8" x14ac:dyDescent="0.3">
      <c r="D51" s="16">
        <v>45</v>
      </c>
      <c r="E51" s="17">
        <f>INPUT!$C$3/INPUT!$C$5+(INPUT!$C$3-(INPUT!$C$3/INPUT!$C$5)*(D51-1))*INPUT!$C$4/1200</f>
        <v>108564.8148148148</v>
      </c>
      <c r="F51" s="17">
        <f t="shared" si="0"/>
        <v>97222.222222222175</v>
      </c>
      <c r="G51" s="17">
        <f>H50*INPUT!$C$4/1200</f>
        <v>11342.592592592631</v>
      </c>
      <c r="H51" s="17">
        <f t="shared" si="1"/>
        <v>2625000.0000000093</v>
      </c>
    </row>
    <row r="52" spans="4:8" x14ac:dyDescent="0.3">
      <c r="D52" s="16">
        <v>46</v>
      </c>
      <c r="E52" s="17">
        <f>INPUT!$C$3/INPUT!$C$5+(INPUT!$C$3-(INPUT!$C$3/INPUT!$C$5)*(D52-1))*INPUT!$C$4/1200</f>
        <v>108159.72222222222</v>
      </c>
      <c r="F52" s="17">
        <f t="shared" si="0"/>
        <v>97222.222222222175</v>
      </c>
      <c r="G52" s="17">
        <f>H51*INPUT!$C$4/1200</f>
        <v>10937.500000000038</v>
      </c>
      <c r="H52" s="17">
        <f t="shared" si="1"/>
        <v>2527777.7777777873</v>
      </c>
    </row>
    <row r="53" spans="4:8" x14ac:dyDescent="0.3">
      <c r="D53" s="16">
        <v>47</v>
      </c>
      <c r="E53" s="17">
        <f>INPUT!$C$3/INPUT!$C$5+(INPUT!$C$3-(INPUT!$C$3/INPUT!$C$5)*(D53-1))*INPUT!$C$4/1200</f>
        <v>107754.62962962964</v>
      </c>
      <c r="F53" s="17">
        <f t="shared" si="0"/>
        <v>97222.22222222219</v>
      </c>
      <c r="G53" s="17">
        <f>H52*INPUT!$C$4/1200</f>
        <v>10532.407407407447</v>
      </c>
      <c r="H53" s="17">
        <f t="shared" si="1"/>
        <v>2430555.5555555653</v>
      </c>
    </row>
    <row r="54" spans="4:8" x14ac:dyDescent="0.3">
      <c r="D54" s="16">
        <v>48</v>
      </c>
      <c r="E54" s="17">
        <f>INPUT!$C$3/INPUT!$C$5+(INPUT!$C$3-(INPUT!$C$3/INPUT!$C$5)*(D54-1))*INPUT!$C$4/1200</f>
        <v>107349.53703703704</v>
      </c>
      <c r="F54" s="17">
        <f t="shared" si="0"/>
        <v>97222.222222222175</v>
      </c>
      <c r="G54" s="17">
        <f>H53*INPUT!$C$4/1200</f>
        <v>10127.314814814856</v>
      </c>
      <c r="H54" s="17">
        <f t="shared" si="1"/>
        <v>2333333.3333333433</v>
      </c>
    </row>
    <row r="55" spans="4:8" x14ac:dyDescent="0.3">
      <c r="D55" s="16">
        <v>49</v>
      </c>
      <c r="E55" s="17">
        <f>INPUT!$C$3/INPUT!$C$5+(INPUT!$C$3-(INPUT!$C$3/INPUT!$C$5)*(D55-1))*INPUT!$C$4/1200</f>
        <v>106944.44444444444</v>
      </c>
      <c r="F55" s="17">
        <f t="shared" si="0"/>
        <v>97222.222222222175</v>
      </c>
      <c r="G55" s="17">
        <f>H54*INPUT!$C$4/1200</f>
        <v>9722.2222222222645</v>
      </c>
      <c r="H55" s="17">
        <f t="shared" si="1"/>
        <v>2236111.1111111213</v>
      </c>
    </row>
    <row r="56" spans="4:8" x14ac:dyDescent="0.3">
      <c r="D56" s="16">
        <v>50</v>
      </c>
      <c r="E56" s="17">
        <f>INPUT!$C$3/INPUT!$C$5+(INPUT!$C$3-(INPUT!$C$3/INPUT!$C$5)*(D56-1))*INPUT!$C$4/1200</f>
        <v>106539.35185185185</v>
      </c>
      <c r="F56" s="17">
        <f t="shared" si="0"/>
        <v>97222.22222222219</v>
      </c>
      <c r="G56" s="17">
        <f>H55*INPUT!$C$4/1200</f>
        <v>9317.1296296296714</v>
      </c>
      <c r="H56" s="17">
        <f t="shared" si="1"/>
        <v>2138888.8888888992</v>
      </c>
    </row>
    <row r="57" spans="4:8" x14ac:dyDescent="0.3">
      <c r="D57" s="16">
        <v>51</v>
      </c>
      <c r="E57" s="17">
        <f>INPUT!$C$3/INPUT!$C$5+(INPUT!$C$3-(INPUT!$C$3/INPUT!$C$5)*(D57-1))*INPUT!$C$4/1200</f>
        <v>106134.25925925926</v>
      </c>
      <c r="F57" s="17">
        <f t="shared" si="0"/>
        <v>97222.222222222175</v>
      </c>
      <c r="G57" s="17">
        <f>H56*INPUT!$C$4/1200</f>
        <v>8912.0370370370802</v>
      </c>
      <c r="H57" s="17">
        <f t="shared" si="1"/>
        <v>2041666.666666677</v>
      </c>
    </row>
    <row r="58" spans="4:8" x14ac:dyDescent="0.3">
      <c r="D58" s="16">
        <v>52</v>
      </c>
      <c r="E58" s="17">
        <f>INPUT!$C$3/INPUT!$C$5+(INPUT!$C$3-(INPUT!$C$3/INPUT!$C$5)*(D58-1))*INPUT!$C$4/1200</f>
        <v>105729.16666666667</v>
      </c>
      <c r="F58" s="17">
        <f t="shared" si="0"/>
        <v>97222.22222222219</v>
      </c>
      <c r="G58" s="17">
        <f>H57*INPUT!$C$4/1200</f>
        <v>8506.9444444444871</v>
      </c>
      <c r="H58" s="17">
        <f t="shared" si="1"/>
        <v>1944444.4444444547</v>
      </c>
    </row>
    <row r="59" spans="4:8" x14ac:dyDescent="0.3">
      <c r="D59" s="16">
        <v>53</v>
      </c>
      <c r="E59" s="17">
        <f>INPUT!$C$3/INPUT!$C$5+(INPUT!$C$3-(INPUT!$C$3/INPUT!$C$5)*(D59-1))*INPUT!$C$4/1200</f>
        <v>105324.07407407407</v>
      </c>
      <c r="F59" s="17">
        <f t="shared" si="0"/>
        <v>97222.222222222175</v>
      </c>
      <c r="G59" s="17">
        <f>H58*INPUT!$C$4/1200</f>
        <v>8101.8518518518949</v>
      </c>
      <c r="H59" s="17">
        <f t="shared" si="1"/>
        <v>1847222.2222222325</v>
      </c>
    </row>
    <row r="60" spans="4:8" x14ac:dyDescent="0.3">
      <c r="D60" s="16">
        <v>54</v>
      </c>
      <c r="E60" s="17">
        <f>INPUT!$C$3/INPUT!$C$5+(INPUT!$C$3-(INPUT!$C$3/INPUT!$C$5)*(D60-1))*INPUT!$C$4/1200</f>
        <v>104918.98148148147</v>
      </c>
      <c r="F60" s="17">
        <f t="shared" si="0"/>
        <v>97222.222222222175</v>
      </c>
      <c r="G60" s="17">
        <f>H59*INPUT!$C$4/1200</f>
        <v>7696.7592592593019</v>
      </c>
      <c r="H60" s="17">
        <f t="shared" si="1"/>
        <v>1750000.0000000102</v>
      </c>
    </row>
    <row r="61" spans="4:8" x14ac:dyDescent="0.3">
      <c r="D61" s="16">
        <v>55</v>
      </c>
      <c r="E61" s="17">
        <f>INPUT!$C$3/INPUT!$C$5+(INPUT!$C$3-(INPUT!$C$3/INPUT!$C$5)*(D61-1))*INPUT!$C$4/1200</f>
        <v>104513.88888888889</v>
      </c>
      <c r="F61" s="17">
        <f t="shared" si="0"/>
        <v>97222.222222222175</v>
      </c>
      <c r="G61" s="17">
        <f>H60*INPUT!$C$4/1200</f>
        <v>7291.6666666667097</v>
      </c>
      <c r="H61" s="17">
        <f t="shared" si="1"/>
        <v>1652777.777777788</v>
      </c>
    </row>
    <row r="62" spans="4:8" x14ac:dyDescent="0.3">
      <c r="D62" s="16">
        <v>56</v>
      </c>
      <c r="E62" s="17">
        <f>INPUT!$C$3/INPUT!$C$5+(INPUT!$C$3-(INPUT!$C$3/INPUT!$C$5)*(D62-1))*INPUT!$C$4/1200</f>
        <v>104108.79629629629</v>
      </c>
      <c r="F62" s="17">
        <f t="shared" si="0"/>
        <v>97222.222222222175</v>
      </c>
      <c r="G62" s="17">
        <f>H61*INPUT!$C$4/1200</f>
        <v>6886.5740740741167</v>
      </c>
      <c r="H62" s="17">
        <f t="shared" si="1"/>
        <v>1555555.5555555657</v>
      </c>
    </row>
    <row r="63" spans="4:8" x14ac:dyDescent="0.3">
      <c r="D63" s="16">
        <v>57</v>
      </c>
      <c r="E63" s="17">
        <f>INPUT!$C$3/INPUT!$C$5+(INPUT!$C$3-(INPUT!$C$3/INPUT!$C$5)*(D63-1))*INPUT!$C$4/1200</f>
        <v>103703.70370370371</v>
      </c>
      <c r="F63" s="17">
        <f t="shared" si="0"/>
        <v>97222.22222222219</v>
      </c>
      <c r="G63" s="17">
        <f>H62*INPUT!$C$4/1200</f>
        <v>6481.4814814815236</v>
      </c>
      <c r="H63" s="17">
        <f t="shared" si="1"/>
        <v>1458333.3333333435</v>
      </c>
    </row>
    <row r="64" spans="4:8" x14ac:dyDescent="0.3">
      <c r="D64" s="16">
        <v>58</v>
      </c>
      <c r="E64" s="17">
        <f>INPUT!$C$3/INPUT!$C$5+(INPUT!$C$3-(INPUT!$C$3/INPUT!$C$5)*(D64-1))*INPUT!$C$4/1200</f>
        <v>103298.61111111111</v>
      </c>
      <c r="F64" s="17">
        <f t="shared" si="0"/>
        <v>97222.222222222175</v>
      </c>
      <c r="G64" s="17">
        <f>H63*INPUT!$C$4/1200</f>
        <v>6076.3888888889314</v>
      </c>
      <c r="H64" s="17">
        <f t="shared" si="1"/>
        <v>1361111.1111111213</v>
      </c>
    </row>
    <row r="65" spans="4:8" x14ac:dyDescent="0.3">
      <c r="D65" s="16">
        <v>59</v>
      </c>
      <c r="E65" s="17">
        <f>INPUT!$C$3/INPUT!$C$5+(INPUT!$C$3-(INPUT!$C$3/INPUT!$C$5)*(D65-1))*INPUT!$C$4/1200</f>
        <v>102893.51851851851</v>
      </c>
      <c r="F65" s="17">
        <f t="shared" si="0"/>
        <v>97222.222222222175</v>
      </c>
      <c r="G65" s="17">
        <f>H64*INPUT!$C$4/1200</f>
        <v>5671.2962962963384</v>
      </c>
      <c r="H65" s="17">
        <f t="shared" si="1"/>
        <v>1263888.888888899</v>
      </c>
    </row>
    <row r="66" spans="4:8" x14ac:dyDescent="0.3">
      <c r="D66" s="16">
        <v>60</v>
      </c>
      <c r="E66" s="17">
        <f>INPUT!$C$3/INPUT!$C$5+(INPUT!$C$3-(INPUT!$C$3/INPUT!$C$5)*(D66-1))*INPUT!$C$4/1200</f>
        <v>102488.42592592593</v>
      </c>
      <c r="F66" s="17">
        <f t="shared" si="0"/>
        <v>97222.222222222175</v>
      </c>
      <c r="G66" s="17">
        <f>H65*INPUT!$C$4/1200</f>
        <v>5266.2037037037462</v>
      </c>
      <c r="H66" s="17">
        <f t="shared" si="1"/>
        <v>1166666.6666666768</v>
      </c>
    </row>
    <row r="67" spans="4:8" x14ac:dyDescent="0.3">
      <c r="D67" s="16">
        <v>61</v>
      </c>
      <c r="E67" s="17">
        <f>INPUT!$C$3/INPUT!$C$5+(INPUT!$C$3-(INPUT!$C$3/INPUT!$C$5)*(D67-1))*INPUT!$C$4/1200</f>
        <v>102083.33333333333</v>
      </c>
      <c r="F67" s="17">
        <f t="shared" si="0"/>
        <v>97222.222222222175</v>
      </c>
      <c r="G67" s="17">
        <f>H66*INPUT!$C$4/1200</f>
        <v>4861.1111111111531</v>
      </c>
      <c r="H67" s="17">
        <f t="shared" si="1"/>
        <v>1069444.4444444545</v>
      </c>
    </row>
    <row r="68" spans="4:8" x14ac:dyDescent="0.3">
      <c r="D68" s="16">
        <v>62</v>
      </c>
      <c r="E68" s="17">
        <f>INPUT!$C$3/INPUT!$C$5+(INPUT!$C$3-(INPUT!$C$3/INPUT!$C$5)*(D68-1))*INPUT!$C$4/1200</f>
        <v>101678.24074074074</v>
      </c>
      <c r="F68" s="17">
        <f t="shared" si="0"/>
        <v>97222.22222222219</v>
      </c>
      <c r="G68" s="17">
        <f>H67*INPUT!$C$4/1200</f>
        <v>4456.0185185185601</v>
      </c>
      <c r="H68" s="17">
        <f t="shared" si="1"/>
        <v>972222.22222223226</v>
      </c>
    </row>
    <row r="69" spans="4:8" x14ac:dyDescent="0.3">
      <c r="D69" s="16">
        <v>63</v>
      </c>
      <c r="E69" s="17">
        <f>INPUT!$C$3/INPUT!$C$5+(INPUT!$C$3-(INPUT!$C$3/INPUT!$C$5)*(D69-1))*INPUT!$C$4/1200</f>
        <v>101273.14814814815</v>
      </c>
      <c r="F69" s="17">
        <f t="shared" si="0"/>
        <v>97222.222222222175</v>
      </c>
      <c r="G69" s="17">
        <f>H68*INPUT!$C$4/1200</f>
        <v>4050.9259259259679</v>
      </c>
      <c r="H69" s="17">
        <f t="shared" si="1"/>
        <v>875000.00000001013</v>
      </c>
    </row>
    <row r="70" spans="4:8" x14ac:dyDescent="0.3">
      <c r="D70" s="16">
        <v>64</v>
      </c>
      <c r="E70" s="17">
        <f>INPUT!$C$3/INPUT!$C$5+(INPUT!$C$3-(INPUT!$C$3/INPUT!$C$5)*(D70-1))*INPUT!$C$4/1200</f>
        <v>100868.05555555555</v>
      </c>
      <c r="F70" s="17">
        <f t="shared" si="0"/>
        <v>97222.222222222175</v>
      </c>
      <c r="G70" s="17">
        <f>H69*INPUT!$C$4/1200</f>
        <v>3645.8333333333753</v>
      </c>
      <c r="H70" s="17">
        <f t="shared" si="1"/>
        <v>777777.777777788</v>
      </c>
    </row>
    <row r="71" spans="4:8" x14ac:dyDescent="0.3">
      <c r="D71" s="16">
        <v>65</v>
      </c>
      <c r="E71" s="17">
        <f>INPUT!$C$3/INPUT!$C$5+(INPUT!$C$3-(INPUT!$C$3/INPUT!$C$5)*(D71-1))*INPUT!$C$4/1200</f>
        <v>100462.96296296296</v>
      </c>
      <c r="F71" s="17">
        <f t="shared" si="0"/>
        <v>97222.222222222175</v>
      </c>
      <c r="G71" s="17">
        <f>H70*INPUT!$C$4/1200</f>
        <v>3240.7407407407836</v>
      </c>
      <c r="H71" s="17">
        <f t="shared" si="1"/>
        <v>680555.55555556586</v>
      </c>
    </row>
    <row r="72" spans="4:8" x14ac:dyDescent="0.3">
      <c r="D72" s="16">
        <v>66</v>
      </c>
      <c r="E72" s="17">
        <f>INPUT!$C$3/INPUT!$C$5+(INPUT!$C$3-(INPUT!$C$3/INPUT!$C$5)*(D72-1))*INPUT!$C$4/1200</f>
        <v>100057.87037037036</v>
      </c>
      <c r="F72" s="17">
        <f t="shared" ref="F72:F78" si="2">E72-G72</f>
        <v>97222.222222222175</v>
      </c>
      <c r="G72" s="17">
        <f>H71*INPUT!$C$4/1200</f>
        <v>2835.648148148191</v>
      </c>
      <c r="H72" s="17">
        <f t="shared" si="1"/>
        <v>583333.33333334373</v>
      </c>
    </row>
    <row r="73" spans="4:8" x14ac:dyDescent="0.3">
      <c r="D73" s="16">
        <v>67</v>
      </c>
      <c r="E73" s="17">
        <f>INPUT!$C$3/INPUT!$C$5+(INPUT!$C$3-(INPUT!$C$3/INPUT!$C$5)*(D73-1))*INPUT!$C$4/1200</f>
        <v>99652.777777777781</v>
      </c>
      <c r="F73" s="17">
        <f t="shared" si="2"/>
        <v>97222.222222222175</v>
      </c>
      <c r="G73" s="17">
        <f>H72*INPUT!$C$4/1200</f>
        <v>2430.5555555555989</v>
      </c>
      <c r="H73" s="17">
        <f t="shared" ref="H73:H78" si="3">H72-F73</f>
        <v>486111.11111112154</v>
      </c>
    </row>
    <row r="74" spans="4:8" x14ac:dyDescent="0.3">
      <c r="D74" s="16">
        <v>68</v>
      </c>
      <c r="E74" s="17">
        <f>INPUT!$C$3/INPUT!$C$5+(INPUT!$C$3-(INPUT!$C$3/INPUT!$C$5)*(D74-1))*INPUT!$C$4/1200</f>
        <v>99247.685185185182</v>
      </c>
      <c r="F74" s="17">
        <f t="shared" si="2"/>
        <v>97222.222222222175</v>
      </c>
      <c r="G74" s="17">
        <f>H73*INPUT!$C$4/1200</f>
        <v>2025.4629629630065</v>
      </c>
      <c r="H74" s="17">
        <f t="shared" si="3"/>
        <v>388888.88888889935</v>
      </c>
    </row>
    <row r="75" spans="4:8" x14ac:dyDescent="0.3">
      <c r="D75" s="16">
        <v>69</v>
      </c>
      <c r="E75" s="17">
        <f>INPUT!$C$3/INPUT!$C$5+(INPUT!$C$3-(INPUT!$C$3/INPUT!$C$5)*(D75-1))*INPUT!$C$4/1200</f>
        <v>98842.592592592584</v>
      </c>
      <c r="F75" s="17">
        <f t="shared" si="2"/>
        <v>97222.222222222175</v>
      </c>
      <c r="G75" s="17">
        <f>H74*INPUT!$C$4/1200</f>
        <v>1620.3703703704139</v>
      </c>
      <c r="H75" s="17">
        <f t="shared" si="3"/>
        <v>291666.66666667716</v>
      </c>
    </row>
    <row r="76" spans="4:8" x14ac:dyDescent="0.3">
      <c r="D76" s="16">
        <v>70</v>
      </c>
      <c r="E76" s="17">
        <f>INPUT!$C$3/INPUT!$C$5+(INPUT!$C$3-(INPUT!$C$3/INPUT!$C$5)*(D76-1))*INPUT!$C$4/1200</f>
        <v>98437.5</v>
      </c>
      <c r="F76" s="17">
        <f t="shared" si="2"/>
        <v>97222.222222222175</v>
      </c>
      <c r="G76" s="17">
        <f>H75*INPUT!$C$4/1200</f>
        <v>1215.2777777778215</v>
      </c>
      <c r="H76" s="17">
        <f t="shared" si="3"/>
        <v>194444.44444445497</v>
      </c>
    </row>
    <row r="77" spans="4:8" x14ac:dyDescent="0.3">
      <c r="D77" s="16">
        <v>71</v>
      </c>
      <c r="E77" s="17">
        <f>INPUT!$C$3/INPUT!$C$5+(INPUT!$C$3-(INPUT!$C$3/INPUT!$C$5)*(D77-1))*INPUT!$C$4/1200</f>
        <v>98032.407407407401</v>
      </c>
      <c r="F77" s="17">
        <f t="shared" si="2"/>
        <v>97222.222222222175</v>
      </c>
      <c r="G77" s="17">
        <f>H76*INPUT!$C$4/1200</f>
        <v>810.1851851852291</v>
      </c>
      <c r="H77" s="17">
        <f t="shared" si="3"/>
        <v>97222.222222232798</v>
      </c>
    </row>
    <row r="78" spans="4:8" x14ac:dyDescent="0.3">
      <c r="D78" s="16">
        <v>72</v>
      </c>
      <c r="E78" s="17">
        <f>INPUT!$C$3/INPUT!$C$5+(INPUT!$C$3-(INPUT!$C$3/INPUT!$C$5)*(D78-1))*INPUT!$C$4/1200</f>
        <v>97627.314814814818</v>
      </c>
      <c r="F78" s="17">
        <f t="shared" si="2"/>
        <v>97222.222222222175</v>
      </c>
      <c r="G78" s="17">
        <f>H77*INPUT!$C$4/1200</f>
        <v>405.09259259263666</v>
      </c>
      <c r="H78" s="17">
        <f t="shared" si="3"/>
        <v>1.0622898116707802E-8</v>
      </c>
    </row>
    <row r="79" spans="4:8" x14ac:dyDescent="0.3">
      <c r="D79" s="13" t="s">
        <v>6</v>
      </c>
      <c r="E79" s="17">
        <f>SUM(E7:E78)</f>
        <v>8064583.333333333</v>
      </c>
      <c r="F79" s="17">
        <f t="shared" ref="F79:G79" si="4">SUM(F7:F78)</f>
        <v>6999999.9999999898</v>
      </c>
      <c r="G79" s="17">
        <f t="shared" si="4"/>
        <v>1064583.3333333347</v>
      </c>
      <c r="H79" s="16"/>
    </row>
    <row r="80" spans="4:8" x14ac:dyDescent="0.3">
      <c r="E80" s="3"/>
    </row>
  </sheetData>
  <mergeCells count="1">
    <mergeCell ref="D5:H5"/>
  </mergeCells>
  <pageMargins left="0.7" right="0.7" top="0.75" bottom="0.75" header="0.3" footer="0.3"/>
  <pageSetup paperSize="9" orientation="portrait" r:id="rId1"/>
  <headerFooter>
    <oddHeader>&amp;L&amp;"Calibri"&amp;10&amp;K000000ВНУТРЕННЯЯ ИНФОРМАЦИЯ&amp;1#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02366-0DA2-487E-B557-E55AADC13B45}">
  <dimension ref="D4:Q79"/>
  <sheetViews>
    <sheetView tabSelected="1" workbookViewId="0">
      <selection activeCell="K16" sqref="K16"/>
    </sheetView>
  </sheetViews>
  <sheetFormatPr defaultRowHeight="14.4" x14ac:dyDescent="0.3"/>
  <cols>
    <col min="4" max="4" width="7.33203125" bestFit="1" customWidth="1"/>
    <col min="5" max="5" width="17.6640625" bestFit="1" customWidth="1"/>
    <col min="6" max="6" width="11.77734375" bestFit="1" customWidth="1"/>
    <col min="7" max="7" width="13.88671875" bestFit="1" customWidth="1"/>
    <col min="8" max="8" width="10.88671875" bestFit="1" customWidth="1"/>
    <col min="10" max="10" width="14.21875" customWidth="1"/>
    <col min="11" max="11" width="17.44140625" bestFit="1" customWidth="1"/>
    <col min="12" max="12" width="12" bestFit="1" customWidth="1"/>
    <col min="13" max="13" width="13.6640625" bestFit="1" customWidth="1"/>
    <col min="14" max="14" width="32.21875" bestFit="1" customWidth="1"/>
    <col min="15" max="15" width="13.77734375" customWidth="1"/>
  </cols>
  <sheetData>
    <row r="4" spans="4:17" ht="15" thickBot="1" x14ac:dyDescent="0.35"/>
    <row r="5" spans="4:17" ht="16.2" thickBot="1" x14ac:dyDescent="0.35">
      <c r="D5" s="51" t="s">
        <v>14</v>
      </c>
      <c r="E5" s="52"/>
      <c r="F5" s="52"/>
      <c r="G5" s="52"/>
      <c r="H5" s="53"/>
      <c r="J5" s="63" t="s">
        <v>19</v>
      </c>
      <c r="K5" s="64"/>
      <c r="L5" s="65"/>
      <c r="N5" s="71" t="s">
        <v>28</v>
      </c>
      <c r="O5" s="72"/>
      <c r="P5" s="54"/>
      <c r="Q5" s="54"/>
    </row>
    <row r="6" spans="4:17" ht="16.2" thickBot="1" x14ac:dyDescent="0.35">
      <c r="D6" s="39" t="s">
        <v>5</v>
      </c>
      <c r="E6" s="40" t="s">
        <v>15</v>
      </c>
      <c r="F6" s="40" t="s">
        <v>16</v>
      </c>
      <c r="G6" s="40" t="s">
        <v>17</v>
      </c>
      <c r="H6" s="41" t="s">
        <v>18</v>
      </c>
      <c r="J6" s="66" t="s">
        <v>22</v>
      </c>
      <c r="K6" s="45" t="s">
        <v>20</v>
      </c>
      <c r="L6" s="60">
        <f>E79</f>
        <v>8116886.061371238</v>
      </c>
      <c r="M6" s="42"/>
      <c r="N6" s="56" t="s">
        <v>26</v>
      </c>
      <c r="O6" s="59">
        <v>10</v>
      </c>
    </row>
    <row r="7" spans="4:17" x14ac:dyDescent="0.3">
      <c r="D7" s="18">
        <v>1</v>
      </c>
      <c r="E7" s="19">
        <f>Annuity!E7</f>
        <v>112734.52863015613</v>
      </c>
      <c r="F7" s="19">
        <f>E7/((1+INPUT!$C$6/1200)^D7)</f>
        <v>111802.83831089865</v>
      </c>
      <c r="G7" s="19">
        <f>Differentiated!E7</f>
        <v>126388.88888888889</v>
      </c>
      <c r="H7" s="19">
        <f>G7/((1+INPUT!$C$6/1200)^D7)</f>
        <v>125344.3526170799</v>
      </c>
      <c r="J7" s="67"/>
      <c r="K7" s="44" t="s">
        <v>21</v>
      </c>
      <c r="L7" s="60">
        <f>G79</f>
        <v>8064583.333333333</v>
      </c>
      <c r="M7" s="43"/>
      <c r="N7" s="57" t="s">
        <v>27</v>
      </c>
      <c r="O7" s="60">
        <v>15</v>
      </c>
    </row>
    <row r="8" spans="4:17" x14ac:dyDescent="0.3">
      <c r="D8" s="16">
        <v>2</v>
      </c>
      <c r="E8" s="17">
        <f>Annuity!E8</f>
        <v>112734.52863015613</v>
      </c>
      <c r="F8" s="17">
        <f>E8/((1+INPUT!$C$6/1200)^D8)</f>
        <v>110878.84791163502</v>
      </c>
      <c r="G8" s="17">
        <f>Differentiated!E8</f>
        <v>125983.79629629629</v>
      </c>
      <c r="H8" s="17">
        <f>G8/((1+INPUT!$C$6/1200)^D8)</f>
        <v>123910.02436081324</v>
      </c>
      <c r="J8" s="66" t="s">
        <v>23</v>
      </c>
      <c r="K8" s="45" t="s">
        <v>20</v>
      </c>
      <c r="L8" s="60">
        <f>F79</f>
        <v>6085259.4087593257</v>
      </c>
      <c r="N8" s="57" t="s">
        <v>25</v>
      </c>
      <c r="O8" s="60">
        <v>-66364</v>
      </c>
    </row>
    <row r="9" spans="4:17" ht="15" thickBot="1" x14ac:dyDescent="0.35">
      <c r="D9" s="16">
        <v>3</v>
      </c>
      <c r="E9" s="17">
        <f>Annuity!E9</f>
        <v>112734.52863015613</v>
      </c>
      <c r="F9" s="17">
        <f>E9/((1+INPUT!$C$6/1200)^D9)</f>
        <v>109962.49379666283</v>
      </c>
      <c r="G9" s="17">
        <f>Differentiated!E9</f>
        <v>125578.70370370371</v>
      </c>
      <c r="H9" s="17">
        <f>G9/((1+INPUT!$C$6/1200)^D9)</f>
        <v>122490.84282166972</v>
      </c>
      <c r="J9" s="67"/>
      <c r="K9" s="45" t="s">
        <v>21</v>
      </c>
      <c r="L9" s="60">
        <f>H79</f>
        <v>6123962.9051857842</v>
      </c>
      <c r="N9" s="58" t="s">
        <v>24</v>
      </c>
      <c r="O9" s="61">
        <v>207856</v>
      </c>
    </row>
    <row r="10" spans="4:17" ht="15" thickBot="1" x14ac:dyDescent="0.35">
      <c r="D10" s="16">
        <v>4</v>
      </c>
      <c r="E10" s="17">
        <f>Annuity!E10</f>
        <v>112734.52863015613</v>
      </c>
      <c r="F10" s="17">
        <f>E10/((1+INPUT!$C$6/1200)^D10)</f>
        <v>109053.71285619456</v>
      </c>
      <c r="G10" s="17">
        <f>Differentiated!E10</f>
        <v>125173.61111111111</v>
      </c>
      <c r="H10" s="17">
        <f>G10/((1+INPUT!$C$6/1200)^D10)</f>
        <v>121086.65560723843</v>
      </c>
      <c r="J10" s="68" t="s">
        <v>24</v>
      </c>
      <c r="K10" s="50"/>
      <c r="L10" s="60">
        <f>L6-L7</f>
        <v>52302.728037904948</v>
      </c>
      <c r="N10" s="55"/>
    </row>
    <row r="11" spans="4:17" ht="15" thickBot="1" x14ac:dyDescent="0.35">
      <c r="D11" s="16">
        <v>5</v>
      </c>
      <c r="E11" s="17">
        <f>Annuity!E11</f>
        <v>112734.52863015613</v>
      </c>
      <c r="F11" s="17">
        <f>E11/((1+INPUT!$C$6/1200)^D11)</f>
        <v>108152.44250201114</v>
      </c>
      <c r="G11" s="17">
        <f>Differentiated!E11</f>
        <v>124768.51851851851</v>
      </c>
      <c r="H11" s="17">
        <f>G11/((1+INPUT!$C$6/1200)^D11)</f>
        <v>119697.31180945017</v>
      </c>
      <c r="J11" s="69" t="s">
        <v>25</v>
      </c>
      <c r="K11" s="70"/>
      <c r="L11" s="61">
        <f>L8-L9</f>
        <v>-38703.496426458471</v>
      </c>
      <c r="N11" s="56" t="s">
        <v>26</v>
      </c>
      <c r="O11" s="59">
        <v>3</v>
      </c>
    </row>
    <row r="12" spans="4:17" x14ac:dyDescent="0.3">
      <c r="D12" s="16">
        <v>6</v>
      </c>
      <c r="E12" s="17">
        <f>Annuity!E12</f>
        <v>112734.52863015613</v>
      </c>
      <c r="F12" s="17">
        <f>E12/((1+INPUT!$C$6/1200)^D12)</f>
        <v>107258.62066315154</v>
      </c>
      <c r="G12" s="17">
        <f>Differentiated!E12</f>
        <v>124363.42592592593</v>
      </c>
      <c r="H12" s="17">
        <f>G12/((1+INPUT!$C$6/1200)^D12)</f>
        <v>118322.66199045144</v>
      </c>
      <c r="N12" s="57" t="s">
        <v>27</v>
      </c>
      <c r="O12" s="60">
        <v>8</v>
      </c>
    </row>
    <row r="13" spans="4:17" x14ac:dyDescent="0.3">
      <c r="D13" s="16">
        <v>7</v>
      </c>
      <c r="E13" s="17">
        <f>Annuity!E13</f>
        <v>112734.52863015613</v>
      </c>
      <c r="F13" s="17">
        <f>E13/((1+INPUT!$C$6/1200)^D13)</f>
        <v>106372.18578163791</v>
      </c>
      <c r="G13" s="17">
        <f>Differentiated!E13</f>
        <v>123958.33333333333</v>
      </c>
      <c r="H13" s="17">
        <f>G13/((1+INPUT!$C$6/1200)^D13)</f>
        <v>116962.55816861059</v>
      </c>
      <c r="N13" s="57" t="s">
        <v>25</v>
      </c>
      <c r="O13" s="60">
        <v>-24691</v>
      </c>
    </row>
    <row r="14" spans="4:17" ht="15" thickBot="1" x14ac:dyDescent="0.35">
      <c r="D14" s="16">
        <v>8</v>
      </c>
      <c r="E14" s="17">
        <f>Annuity!E14</f>
        <v>112734.52863015613</v>
      </c>
      <c r="F14" s="17">
        <f>E14/((1+INPUT!$C$6/1200)^D14)</f>
        <v>105493.07680823593</v>
      </c>
      <c r="G14" s="17">
        <f>Differentiated!E14</f>
        <v>123553.24074074073</v>
      </c>
      <c r="H14" s="17">
        <f>G14/((1+INPUT!$C$6/1200)^D14)</f>
        <v>115616.85380465475</v>
      </c>
      <c r="N14" s="58" t="s">
        <v>24</v>
      </c>
      <c r="O14" s="62">
        <v>18863</v>
      </c>
    </row>
    <row r="15" spans="4:17" ht="15" thickBot="1" x14ac:dyDescent="0.35">
      <c r="D15" s="16">
        <v>9</v>
      </c>
      <c r="E15" s="17">
        <f>Annuity!E15</f>
        <v>112734.52863015613</v>
      </c>
      <c r="F15" s="17">
        <f>E15/((1+INPUT!$C$6/1200)^D15)</f>
        <v>104621.23319825051</v>
      </c>
      <c r="G15" s="17">
        <f>Differentiated!E15</f>
        <v>123148.14814814815</v>
      </c>
      <c r="H15" s="17">
        <f>G15/((1+INPUT!$C$6/1200)^D15)</f>
        <v>114285.40378793675</v>
      </c>
      <c r="K15" s="54"/>
      <c r="L15" s="54"/>
      <c r="N15" s="55"/>
    </row>
    <row r="16" spans="4:17" x14ac:dyDescent="0.3">
      <c r="D16" s="16">
        <v>10</v>
      </c>
      <c r="E16" s="17">
        <f>Annuity!E16</f>
        <v>112734.52863015613</v>
      </c>
      <c r="F16" s="17">
        <f>E16/((1+INPUT!$C$6/1200)^D16)</f>
        <v>103756.59490735589</v>
      </c>
      <c r="G16" s="17">
        <f>Differentiated!E16</f>
        <v>122743.05555555555</v>
      </c>
      <c r="H16" s="17">
        <f>G16/((1+INPUT!$C$6/1200)^D16)</f>
        <v>112968.06442283004</v>
      </c>
      <c r="N16" s="56" t="s">
        <v>26</v>
      </c>
      <c r="O16" s="59">
        <v>5</v>
      </c>
    </row>
    <row r="17" spans="4:15" x14ac:dyDescent="0.3">
      <c r="D17" s="16">
        <v>11</v>
      </c>
      <c r="E17" s="17">
        <f>Annuity!E17</f>
        <v>112734.52863015613</v>
      </c>
      <c r="F17" s="17">
        <f>E17/((1+INPUT!$C$6/1200)^D17)</f>
        <v>102899.10238746039</v>
      </c>
      <c r="G17" s="17">
        <f>Differentiated!E17</f>
        <v>122337.96296296296</v>
      </c>
      <c r="H17" s="17">
        <f>G17/((1+INPUT!$C$6/1200)^D17)</f>
        <v>111664.69341525139</v>
      </c>
      <c r="N17" s="57" t="s">
        <v>27</v>
      </c>
      <c r="O17" s="60">
        <v>5</v>
      </c>
    </row>
    <row r="18" spans="4:15" x14ac:dyDescent="0.3">
      <c r="D18" s="16">
        <v>12</v>
      </c>
      <c r="E18" s="17">
        <f>Annuity!E18</f>
        <v>112734.52863015613</v>
      </c>
      <c r="F18" s="17">
        <f>E18/((1+INPUT!$C$6/1200)^D18)</f>
        <v>102048.69658260533</v>
      </c>
      <c r="G18" s="17">
        <f>Differentiated!E18</f>
        <v>121932.87037037036</v>
      </c>
      <c r="H18" s="17">
        <f>G18/((1+INPUT!$C$6/1200)^D18)</f>
        <v>110375.14985930927</v>
      </c>
      <c r="N18" s="57" t="s">
        <v>25</v>
      </c>
      <c r="O18" s="60">
        <v>0</v>
      </c>
    </row>
    <row r="19" spans="4:15" ht="15" thickBot="1" x14ac:dyDescent="0.35">
      <c r="D19" s="16">
        <v>13</v>
      </c>
      <c r="E19" s="17">
        <f>Annuity!E19</f>
        <v>112734.52863015613</v>
      </c>
      <c r="F19" s="17">
        <f>E19/((1+INPUT!$C$6/1200)^D19)</f>
        <v>101205.31892489787</v>
      </c>
      <c r="G19" s="17">
        <f>Differentiated!E19</f>
        <v>121527.77777777778</v>
      </c>
      <c r="H19" s="17">
        <f>G19/((1+INPUT!$C$6/1200)^D19)</f>
        <v>109099.29422407773</v>
      </c>
      <c r="N19" s="58" t="s">
        <v>24</v>
      </c>
      <c r="O19" s="61">
        <v>52303</v>
      </c>
    </row>
    <row r="20" spans="4:15" ht="15" thickBot="1" x14ac:dyDescent="0.35">
      <c r="D20" s="16">
        <v>14</v>
      </c>
      <c r="E20" s="17">
        <f>Annuity!E20</f>
        <v>112734.52863015613</v>
      </c>
      <c r="F20" s="17">
        <f>E20/((1+INPUT!$C$6/1200)^D20)</f>
        <v>100368.91133047723</v>
      </c>
      <c r="G20" s="17">
        <f>Differentiated!E20</f>
        <v>121122.68518518518</v>
      </c>
      <c r="H20" s="17">
        <f>G20/((1+INPUT!$C$6/1200)^D20)</f>
        <v>107836.98834049335</v>
      </c>
      <c r="N20" s="55"/>
    </row>
    <row r="21" spans="4:15" x14ac:dyDescent="0.3">
      <c r="D21" s="16">
        <v>15</v>
      </c>
      <c r="E21" s="17">
        <f>Annuity!E21</f>
        <v>112734.52863015613</v>
      </c>
      <c r="F21" s="17">
        <f>E21/((1+INPUT!$C$6/1200)^D21)</f>
        <v>99539.416195514612</v>
      </c>
      <c r="G21" s="17">
        <f>Differentiated!E21</f>
        <v>120717.59259259258</v>
      </c>
      <c r="H21" s="17">
        <f>G21/((1+INPUT!$C$6/1200)^D21)</f>
        <v>106588.09538837563</v>
      </c>
      <c r="N21" s="56" t="s">
        <v>26</v>
      </c>
      <c r="O21" s="59">
        <v>8</v>
      </c>
    </row>
    <row r="22" spans="4:15" x14ac:dyDescent="0.3">
      <c r="D22" s="16">
        <v>16</v>
      </c>
      <c r="E22" s="17">
        <f>Annuity!E22</f>
        <v>112734.52863015613</v>
      </c>
      <c r="F22" s="17">
        <f>E22/((1+INPUT!$C$6/1200)^D22)</f>
        <v>98716.776392245898</v>
      </c>
      <c r="G22" s="17">
        <f>Differentiated!E22</f>
        <v>120312.5</v>
      </c>
      <c r="H22" s="17">
        <f>G22/((1+INPUT!$C$6/1200)^D22)</f>
        <v>105352.47988356836</v>
      </c>
      <c r="N22" s="57" t="s">
        <v>27</v>
      </c>
      <c r="O22" s="60">
        <v>3</v>
      </c>
    </row>
    <row r="23" spans="4:15" x14ac:dyDescent="0.3">
      <c r="D23" s="16">
        <v>17</v>
      </c>
      <c r="E23" s="17">
        <f>Annuity!E23</f>
        <v>112734.52863015613</v>
      </c>
      <c r="F23" s="17">
        <f>E23/((1+INPUT!$C$6/1200)^D23)</f>
        <v>97900.93526503726</v>
      </c>
      <c r="G23" s="17">
        <f>Differentiated!E23</f>
        <v>119907.4074074074</v>
      </c>
      <c r="H23" s="17">
        <f>G23/((1+INPUT!$C$6/1200)^D23)</f>
        <v>104130.00766520156</v>
      </c>
      <c r="N23" s="57" t="s">
        <v>25</v>
      </c>
      <c r="O23" s="60">
        <v>75982</v>
      </c>
    </row>
    <row r="24" spans="4:15" ht="15" thickBot="1" x14ac:dyDescent="0.35">
      <c r="D24" s="16">
        <v>18</v>
      </c>
      <c r="E24" s="17">
        <f>Annuity!E24</f>
        <v>112734.52863015613</v>
      </c>
      <c r="F24" s="17">
        <f>E24/((1+INPUT!$C$6/1200)^D24)</f>
        <v>97091.836626483229</v>
      </c>
      <c r="G24" s="17">
        <f>Differentiated!E24</f>
        <v>119502.31481481482</v>
      </c>
      <c r="H24" s="17">
        <f>G24/((1+INPUT!$C$6/1200)^D24)</f>
        <v>102920.54588307279</v>
      </c>
      <c r="N24" s="58" t="s">
        <v>24</v>
      </c>
      <c r="O24" s="62">
        <v>133420</v>
      </c>
    </row>
    <row r="25" spans="4:15" ht="15" thickBot="1" x14ac:dyDescent="0.35">
      <c r="D25" s="16">
        <v>19</v>
      </c>
      <c r="E25" s="17">
        <f>Annuity!E25</f>
        <v>112734.52863015613</v>
      </c>
      <c r="F25" s="17">
        <f>E25/((1+INPUT!$C$6/1200)^D25)</f>
        <v>96289.424753537096</v>
      </c>
      <c r="G25" s="17">
        <f>Differentiated!E25</f>
        <v>119097.22222222222</v>
      </c>
      <c r="H25" s="17">
        <f>G25/((1+INPUT!$C$6/1200)^D25)</f>
        <v>101723.9629851466</v>
      </c>
      <c r="N25" s="55"/>
    </row>
    <row r="26" spans="4:15" x14ac:dyDescent="0.3">
      <c r="D26" s="16">
        <v>20</v>
      </c>
      <c r="E26" s="17">
        <f>Annuity!E26</f>
        <v>112734.52863015613</v>
      </c>
      <c r="F26" s="17">
        <f>E26/((1+INPUT!$C$6/1200)^D26)</f>
        <v>95493.644383673163</v>
      </c>
      <c r="G26" s="17">
        <f>Differentiated!E26</f>
        <v>118692.12962962962</v>
      </c>
      <c r="H26" s="17">
        <f>G26/((1+INPUT!$C$6/1200)^D26)</f>
        <v>100540.12870517105</v>
      </c>
      <c r="N26" s="56" t="s">
        <v>26</v>
      </c>
      <c r="O26" s="59">
        <v>15</v>
      </c>
    </row>
    <row r="27" spans="4:15" x14ac:dyDescent="0.3">
      <c r="D27" s="16">
        <v>21</v>
      </c>
      <c r="E27" s="17">
        <f>Annuity!E27</f>
        <v>112734.52863015613</v>
      </c>
      <c r="F27" s="17">
        <f>E27/((1+INPUT!$C$6/1200)^D27)</f>
        <v>94704.440711080839</v>
      </c>
      <c r="G27" s="17">
        <f>Differentiated!E27</f>
        <v>118287.03703703704</v>
      </c>
      <c r="H27" s="17">
        <f>G27/((1+INPUT!$C$6/1200)^D27)</f>
        <v>99368.91405041024</v>
      </c>
      <c r="N27" s="57" t="s">
        <v>27</v>
      </c>
      <c r="O27" s="60">
        <v>10</v>
      </c>
    </row>
    <row r="28" spans="4:15" x14ac:dyDescent="0.3">
      <c r="D28" s="16">
        <v>22</v>
      </c>
      <c r="E28" s="17">
        <f>Annuity!E28</f>
        <v>112734.52863015613</v>
      </c>
      <c r="F28" s="17">
        <f>E28/((1+INPUT!$C$6/1200)^D28)</f>
        <v>93921.759382890057</v>
      </c>
      <c r="G28" s="17">
        <f>Differentiated!E28</f>
        <v>117881.94444444444</v>
      </c>
      <c r="H28" s="17">
        <f>G28/((1+INPUT!$C$6/1200)^D28)</f>
        <v>98210.191289491806</v>
      </c>
      <c r="N28" s="57" t="s">
        <v>25</v>
      </c>
      <c r="O28" s="60">
        <v>113620</v>
      </c>
    </row>
    <row r="29" spans="4:15" ht="15" thickBot="1" x14ac:dyDescent="0.35">
      <c r="D29" s="16">
        <v>23</v>
      </c>
      <c r="E29" s="17">
        <f>Annuity!E29</f>
        <v>112734.52863015613</v>
      </c>
      <c r="F29" s="17">
        <f>E29/((1+INPUT!$C$6/1200)^D29)</f>
        <v>93145.546495428178</v>
      </c>
      <c r="G29" s="17">
        <f>Differentiated!E29</f>
        <v>117476.85185185185</v>
      </c>
      <c r="H29" s="17">
        <f>G29/((1+INPUT!$C$6/1200)^D29)</f>
        <v>97063.83394036851</v>
      </c>
      <c r="N29" s="58" t="s">
        <v>24</v>
      </c>
      <c r="O29" s="62">
        <v>463337</v>
      </c>
    </row>
    <row r="30" spans="4:15" x14ac:dyDescent="0.3">
      <c r="D30" s="16">
        <v>24</v>
      </c>
      <c r="E30" s="17">
        <f>Annuity!E30</f>
        <v>112734.52863015613</v>
      </c>
      <c r="F30" s="17">
        <f>E30/((1+INPUT!$C$6/1200)^D30)</f>
        <v>92375.748590507283</v>
      </c>
      <c r="G30" s="17">
        <f>Differentiated!E30</f>
        <v>117071.75925925926</v>
      </c>
      <c r="H30" s="17">
        <f>G30/((1+INPUT!$C$6/1200)^D30)</f>
        <v>95929.71675839214</v>
      </c>
    </row>
    <row r="31" spans="4:15" x14ac:dyDescent="0.3">
      <c r="D31" s="16">
        <v>25</v>
      </c>
      <c r="E31" s="17">
        <f>Annuity!E31</f>
        <v>112734.52863015613</v>
      </c>
      <c r="F31" s="17">
        <f>E31/((1+INPUT!$C$6/1200)^D31)</f>
        <v>91612.312651742774</v>
      </c>
      <c r="G31" s="17">
        <f>Differentiated!E31</f>
        <v>116666.66666666666</v>
      </c>
      <c r="H31" s="17">
        <f>G31/((1+INPUT!$C$6/1200)^D31)</f>
        <v>94807.715724499765</v>
      </c>
    </row>
    <row r="32" spans="4:15" x14ac:dyDescent="0.3">
      <c r="D32" s="16">
        <v>26</v>
      </c>
      <c r="E32" s="17">
        <f>Annuity!E32</f>
        <v>112734.52863015613</v>
      </c>
      <c r="F32" s="17">
        <f>E32/((1+INPUT!$C$6/1200)^D32)</f>
        <v>90855.186100901919</v>
      </c>
      <c r="G32" s="17">
        <f>Differentiated!E32</f>
        <v>116261.57407407407</v>
      </c>
      <c r="H32" s="17">
        <f>G32/((1+INPUT!$C$6/1200)^D32)</f>
        <v>93697.708033510455</v>
      </c>
    </row>
    <row r="33" spans="4:8" x14ac:dyDescent="0.3">
      <c r="D33" s="16">
        <v>27</v>
      </c>
      <c r="E33" s="17">
        <f>Annuity!E33</f>
        <v>112734.52863015613</v>
      </c>
      <c r="F33" s="17">
        <f>E33/((1+INPUT!$C$6/1200)^D33)</f>
        <v>90104.316794282902</v>
      </c>
      <c r="G33" s="17">
        <f>Differentiated!E33</f>
        <v>115856.48148148147</v>
      </c>
      <c r="H33" s="17">
        <f>G33/((1+INPUT!$C$6/1200)^D33)</f>
        <v>92599.572082531711</v>
      </c>
    </row>
    <row r="34" spans="4:8" x14ac:dyDescent="0.3">
      <c r="D34" s="16">
        <v>28</v>
      </c>
      <c r="E34" s="17">
        <f>Annuity!E34</f>
        <v>112734.52863015613</v>
      </c>
      <c r="F34" s="17">
        <f>E34/((1+INPUT!$C$6/1200)^D34)</f>
        <v>89359.653019123536</v>
      </c>
      <c r="G34" s="17">
        <f>Differentiated!E34</f>
        <v>115451.38888888889</v>
      </c>
      <c r="H34" s="17">
        <f>G34/((1+INPUT!$C$6/1200)^D34)</f>
        <v>91513.187459474779</v>
      </c>
    </row>
    <row r="35" spans="4:8" x14ac:dyDescent="0.3">
      <c r="D35" s="16">
        <v>29</v>
      </c>
      <c r="E35" s="17">
        <f>Annuity!E35</f>
        <v>112734.52863015613</v>
      </c>
      <c r="F35" s="17">
        <f>E35/((1+INPUT!$C$6/1200)^D35)</f>
        <v>88621.143490039889</v>
      </c>
      <c r="G35" s="17">
        <f>Differentiated!E35</f>
        <v>115046.29629629629</v>
      </c>
      <c r="H35" s="17">
        <f>G35/((1+INPUT!$C$6/1200)^D35)</f>
        <v>90438.434931677577</v>
      </c>
    </row>
    <row r="36" spans="4:8" x14ac:dyDescent="0.3">
      <c r="D36" s="16">
        <v>30</v>
      </c>
      <c r="E36" s="17">
        <f>Annuity!E36</f>
        <v>112734.52863015613</v>
      </c>
      <c r="F36" s="17">
        <f>E36/((1+INPUT!$C$6/1200)^D36)</f>
        <v>87888.737345494097</v>
      </c>
      <c r="G36" s="17">
        <f>Differentiated!E36</f>
        <v>114641.20370370371</v>
      </c>
      <c r="H36" s="17">
        <f>G36/((1+INPUT!$C$6/1200)^D36)</f>
        <v>89375.196434634228</v>
      </c>
    </row>
    <row r="37" spans="4:8" x14ac:dyDescent="0.3">
      <c r="D37" s="16">
        <v>31</v>
      </c>
      <c r="E37" s="17">
        <f>Annuity!E37</f>
        <v>112734.52863015613</v>
      </c>
      <c r="F37" s="17">
        <f>E37/((1+INPUT!$C$6/1200)^D37)</f>
        <v>87162.384144291675</v>
      </c>
      <c r="G37" s="17">
        <f>Differentiated!E37</f>
        <v>114236.11111111111</v>
      </c>
      <c r="H37" s="17">
        <f>G37/((1+INPUT!$C$6/1200)^D37)</f>
        <v>88323.35506083061</v>
      </c>
    </row>
    <row r="38" spans="4:8" x14ac:dyDescent="0.3">
      <c r="D38" s="16">
        <v>32</v>
      </c>
      <c r="E38" s="17">
        <f>Annuity!E38</f>
        <v>112734.52863015613</v>
      </c>
      <c r="F38" s="17">
        <f>E38/((1+INPUT!$C$6/1200)^D38)</f>
        <v>86442.033862107448</v>
      </c>
      <c r="G38" s="17">
        <f>Differentiated!E38</f>
        <v>113831.01851851851</v>
      </c>
      <c r="H38" s="17">
        <f>G38/((1+INPUT!$C$6/1200)^D38)</f>
        <v>87282.795048684362</v>
      </c>
    </row>
    <row r="39" spans="4:8" x14ac:dyDescent="0.3">
      <c r="D39" s="16">
        <v>33</v>
      </c>
      <c r="E39" s="17">
        <f>Annuity!E39</f>
        <v>112734.52863015613</v>
      </c>
      <c r="F39" s="17">
        <f>E39/((1+INPUT!$C$6/1200)^D39)</f>
        <v>85727.636888040448</v>
      </c>
      <c r="G39" s="17">
        <f>Differentiated!E39</f>
        <v>113425.92592592593</v>
      </c>
      <c r="H39" s="17">
        <f>G39/((1+INPUT!$C$6/1200)^D39)</f>
        <v>86253.40177158892</v>
      </c>
    </row>
    <row r="40" spans="4:8" x14ac:dyDescent="0.3">
      <c r="D40" s="16">
        <v>34</v>
      </c>
      <c r="E40" s="17">
        <f>Annuity!E40</f>
        <v>112734.52863015613</v>
      </c>
      <c r="F40" s="17">
        <f>E40/((1+INPUT!$C$6/1200)^D40)</f>
        <v>85019.144021197135</v>
      </c>
      <c r="G40" s="17">
        <f>Differentiated!E40</f>
        <v>113020.83333333333</v>
      </c>
      <c r="H40" s="17">
        <f>G40/((1+INPUT!$C$6/1200)^D40)</f>
        <v>85235.061727060121</v>
      </c>
    </row>
    <row r="41" spans="4:8" x14ac:dyDescent="0.3">
      <c r="D41" s="16">
        <v>35</v>
      </c>
      <c r="E41" s="17">
        <f>Annuity!E41</f>
        <v>112734.52863015613</v>
      </c>
      <c r="F41" s="17">
        <f>E41/((1+INPUT!$C$6/1200)^D41)</f>
        <v>84316.506467302956</v>
      </c>
      <c r="G41" s="17">
        <f>Differentiated!E41</f>
        <v>112615.74074074074</v>
      </c>
      <c r="H41" s="17">
        <f>G41/((1+INPUT!$C$6/1200)^D41)</f>
        <v>84227.662525984968</v>
      </c>
    </row>
    <row r="42" spans="4:8" x14ac:dyDescent="0.3">
      <c r="D42" s="16">
        <v>36</v>
      </c>
      <c r="E42" s="17">
        <f>Annuity!E42</f>
        <v>112734.52863015613</v>
      </c>
      <c r="F42" s="17">
        <f>E42/((1+INPUT!$C$6/1200)^D42)</f>
        <v>83619.675835341783</v>
      </c>
      <c r="G42" s="17">
        <f>Differentiated!E42</f>
        <v>112210.64814814815</v>
      </c>
      <c r="H42" s="17">
        <f>G42/((1+INPUT!$C$6/1200)^D42)</f>
        <v>83231.092881970995</v>
      </c>
    </row>
    <row r="43" spans="4:8" x14ac:dyDescent="0.3">
      <c r="D43" s="16">
        <v>37</v>
      </c>
      <c r="E43" s="17">
        <f>Annuity!E43</f>
        <v>112734.52863015613</v>
      </c>
      <c r="F43" s="17">
        <f>E43/((1+INPUT!$C$6/1200)^D43)</f>
        <v>82928.604134223264</v>
      </c>
      <c r="G43" s="17">
        <f>Differentiated!E43</f>
        <v>111805.55555555555</v>
      </c>
      <c r="H43" s="17">
        <f>G43/((1+INPUT!$C$6/1200)^D43)</f>
        <v>82245.242600795988</v>
      </c>
    </row>
    <row r="44" spans="4:8" x14ac:dyDescent="0.3">
      <c r="D44" s="16">
        <v>38</v>
      </c>
      <c r="E44" s="17">
        <f>Annuity!E44</f>
        <v>112734.52863015613</v>
      </c>
      <c r="F44" s="17">
        <f>E44/((1+INPUT!$C$6/1200)^D44)</f>
        <v>82243.243769477602</v>
      </c>
      <c r="G44" s="17">
        <f>Differentiated!E44</f>
        <v>111400.46296296296</v>
      </c>
      <c r="H44" s="17">
        <f>G44/((1+INPUT!$C$6/1200)^D44)</f>
        <v>81270.002569956501</v>
      </c>
    </row>
    <row r="45" spans="4:8" x14ac:dyDescent="0.3">
      <c r="D45" s="16">
        <v>39</v>
      </c>
      <c r="E45" s="17">
        <f>Annuity!E45</f>
        <v>112734.52863015613</v>
      </c>
      <c r="F45" s="17">
        <f>E45/((1+INPUT!$C$6/1200)^D45)</f>
        <v>81563.547539977808</v>
      </c>
      <c r="G45" s="17">
        <f>Differentiated!E45</f>
        <v>110995.37037037036</v>
      </c>
      <c r="H45" s="17">
        <f>G45/((1+INPUT!$C$6/1200)^D45)</f>
        <v>80305.264748314657</v>
      </c>
    </row>
    <row r="46" spans="4:8" x14ac:dyDescent="0.3">
      <c r="D46" s="16">
        <v>40</v>
      </c>
      <c r="E46" s="17">
        <f>Annuity!E46</f>
        <v>112734.52863015613</v>
      </c>
      <c r="F46" s="17">
        <f>E46/((1+INPUT!$C$6/1200)^D46)</f>
        <v>80889.468634688717</v>
      </c>
      <c r="G46" s="17">
        <f>Differentiated!E46</f>
        <v>110590.27777777778</v>
      </c>
      <c r="H46" s="17">
        <f>G46/((1+INPUT!$C$6/1200)^D46)</f>
        <v>79350.922155842083</v>
      </c>
    </row>
    <row r="47" spans="4:8" x14ac:dyDescent="0.3">
      <c r="D47" s="16">
        <v>41</v>
      </c>
      <c r="E47" s="17">
        <f>Annuity!E47</f>
        <v>112734.52863015613</v>
      </c>
      <c r="F47" s="17">
        <f>E47/((1+INPUT!$C$6/1200)^D47)</f>
        <v>80220.960629443376</v>
      </c>
      <c r="G47" s="17">
        <f>Differentiated!E47</f>
        <v>110185.18518518518</v>
      </c>
      <c r="H47" s="17">
        <f>G47/((1+INPUT!$C$6/1200)^D47)</f>
        <v>78406.868863460346</v>
      </c>
    </row>
    <row r="48" spans="4:8" x14ac:dyDescent="0.3">
      <c r="D48" s="16">
        <v>42</v>
      </c>
      <c r="E48" s="17">
        <f>Annuity!E48</f>
        <v>112734.52863015613</v>
      </c>
      <c r="F48" s="17">
        <f>E48/((1+INPUT!$C$6/1200)^D48)</f>
        <v>79557.977483745475</v>
      </c>
      <c r="G48" s="17">
        <f>Differentiated!E48</f>
        <v>109780.09259259258</v>
      </c>
      <c r="H48" s="17">
        <f>G48/((1+INPUT!$C$6/1200)^D48)</f>
        <v>77472.999982976718</v>
      </c>
    </row>
    <row r="49" spans="4:8" x14ac:dyDescent="0.3">
      <c r="D49" s="16">
        <v>43</v>
      </c>
      <c r="E49" s="17">
        <f>Annuity!E49</f>
        <v>112734.52863015613</v>
      </c>
      <c r="F49" s="17">
        <f>E49/((1+INPUT!$C$6/1200)^D49)</f>
        <v>78900.473537598838</v>
      </c>
      <c r="G49" s="17">
        <f>Differentiated!E49</f>
        <v>109375</v>
      </c>
      <c r="H49" s="17">
        <f>G49/((1+INPUT!$C$6/1200)^D49)</f>
        <v>76549.211657114647</v>
      </c>
    </row>
    <row r="50" spans="4:8" x14ac:dyDescent="0.3">
      <c r="D50" s="16">
        <v>44</v>
      </c>
      <c r="E50" s="17">
        <f>Annuity!E50</f>
        <v>112734.52863015613</v>
      </c>
      <c r="F50" s="17">
        <f>E50/((1+INPUT!$C$6/1200)^D50)</f>
        <v>78248.403508362477</v>
      </c>
      <c r="G50" s="17">
        <f>Differentiated!E50</f>
        <v>108969.9074074074</v>
      </c>
      <c r="H50" s="17">
        <f>G50/((1+INPUT!$C$6/1200)^D50)</f>
        <v>75635.401049637599</v>
      </c>
    </row>
    <row r="51" spans="4:8" x14ac:dyDescent="0.3">
      <c r="D51" s="16">
        <v>45</v>
      </c>
      <c r="E51" s="17">
        <f>Annuity!E51</f>
        <v>112734.52863015613</v>
      </c>
      <c r="F51" s="17">
        <f>E51/((1+INPUT!$C$6/1200)^D51)</f>
        <v>77601.722487632229</v>
      </c>
      <c r="G51" s="17">
        <f>Differentiated!E51</f>
        <v>108564.8148148148</v>
      </c>
      <c r="H51" s="17">
        <f>G51/((1+INPUT!$C$6/1200)^D51)</f>
        <v>74731.466335566249</v>
      </c>
    </row>
    <row r="52" spans="4:8" x14ac:dyDescent="0.3">
      <c r="D52" s="16">
        <v>46</v>
      </c>
      <c r="E52" s="17">
        <f>Annuity!E52</f>
        <v>112734.52863015613</v>
      </c>
      <c r="F52" s="17">
        <f>E52/((1+INPUT!$C$6/1200)^D52)</f>
        <v>76960.38593814765</v>
      </c>
      <c r="G52" s="17">
        <f>Differentiated!E52</f>
        <v>108159.72222222222</v>
      </c>
      <c r="H52" s="17">
        <f>G52/((1+INPUT!$C$6/1200)^D52)</f>
        <v>73837.306691487072</v>
      </c>
    </row>
    <row r="53" spans="4:8" x14ac:dyDescent="0.3">
      <c r="D53" s="16">
        <v>47</v>
      </c>
      <c r="E53" s="17">
        <f>Annuity!E53</f>
        <v>112734.52863015613</v>
      </c>
      <c r="F53" s="17">
        <f>E53/((1+INPUT!$C$6/1200)^D53)</f>
        <v>76324.34969072495</v>
      </c>
      <c r="G53" s="17">
        <f>Differentiated!E53</f>
        <v>107754.62962962964</v>
      </c>
      <c r="H53" s="17">
        <f>G53/((1+INPUT!$C$6/1200)^D53)</f>
        <v>72952.822285952498</v>
      </c>
    </row>
    <row r="54" spans="4:8" x14ac:dyDescent="0.3">
      <c r="D54" s="16">
        <v>48</v>
      </c>
      <c r="E54" s="17">
        <f>Annuity!E54</f>
        <v>112734.52863015613</v>
      </c>
      <c r="F54" s="17">
        <f>E54/((1+INPUT!$C$6/1200)^D54)</f>
        <v>75693.569941214839</v>
      </c>
      <c r="G54" s="17">
        <f>Differentiated!E54</f>
        <v>107349.53703703704</v>
      </c>
      <c r="H54" s="17">
        <f>G54/((1+INPUT!$C$6/1200)^D54)</f>
        <v>72077.914269971094</v>
      </c>
    </row>
    <row r="55" spans="4:8" x14ac:dyDescent="0.3">
      <c r="D55" s="16">
        <v>49</v>
      </c>
      <c r="E55" s="17">
        <f>Annuity!E55</f>
        <v>112734.52863015613</v>
      </c>
      <c r="F55" s="17">
        <f>E55/((1+INPUT!$C$6/1200)^D55)</f>
        <v>75068.003247485787</v>
      </c>
      <c r="G55" s="17">
        <f>Differentiated!E55</f>
        <v>106944.44444444444</v>
      </c>
      <c r="H55" s="17">
        <f>G55/((1+INPUT!$C$6/1200)^D55)</f>
        <v>71212.484767587215</v>
      </c>
    </row>
    <row r="56" spans="4:8" x14ac:dyDescent="0.3">
      <c r="D56" s="16">
        <v>50</v>
      </c>
      <c r="E56" s="17">
        <f>Annuity!E56</f>
        <v>112734.52863015613</v>
      </c>
      <c r="F56" s="17">
        <f>E56/((1+INPUT!$C$6/1200)^D56)</f>
        <v>74447.606526432181</v>
      </c>
      <c r="G56" s="17">
        <f>Differentiated!E56</f>
        <v>106539.35185185185</v>
      </c>
      <c r="H56" s="17">
        <f>G56/((1+INPUT!$C$6/1200)^D56)</f>
        <v>70356.436866549353</v>
      </c>
    </row>
    <row r="57" spans="4:8" x14ac:dyDescent="0.3">
      <c r="D57" s="16">
        <v>51</v>
      </c>
      <c r="E57" s="17">
        <f>Annuity!E57</f>
        <v>112734.52863015613</v>
      </c>
      <c r="F57" s="17">
        <f>E57/((1+INPUT!$C$6/1200)^D57)</f>
        <v>73832.337051007125</v>
      </c>
      <c r="G57" s="17">
        <f>Differentiated!E57</f>
        <v>106134.25925925926</v>
      </c>
      <c r="H57" s="17">
        <f>G57/((1+INPUT!$C$6/1200)^D57)</f>
        <v>69509.674609066133</v>
      </c>
    </row>
    <row r="58" spans="4:8" x14ac:dyDescent="0.3">
      <c r="D58" s="16">
        <v>52</v>
      </c>
      <c r="E58" s="17">
        <f>Annuity!E58</f>
        <v>112734.52863015613</v>
      </c>
      <c r="F58" s="17">
        <f>E58/((1+INPUT!$C$6/1200)^D58)</f>
        <v>73222.152447279805</v>
      </c>
      <c r="G58" s="17">
        <f>Differentiated!E58</f>
        <v>105729.16666666667</v>
      </c>
      <c r="H58" s="17">
        <f>G58/((1+INPUT!$C$6/1200)^D58)</f>
        <v>68672.10298264942</v>
      </c>
    </row>
    <row r="59" spans="4:8" x14ac:dyDescent="0.3">
      <c r="D59" s="16">
        <v>53</v>
      </c>
      <c r="E59" s="17">
        <f>Annuity!E59</f>
        <v>112734.52863015613</v>
      </c>
      <c r="F59" s="17">
        <f>E59/((1+INPUT!$C$6/1200)^D59)</f>
        <v>72617.010691517164</v>
      </c>
      <c r="G59" s="17">
        <f>Differentiated!E59</f>
        <v>105324.07407407407</v>
      </c>
      <c r="H59" s="17">
        <f>G59/((1+INPUT!$C$6/1200)^D59)</f>
        <v>67843.627911043412</v>
      </c>
    </row>
    <row r="60" spans="4:8" x14ac:dyDescent="0.3">
      <c r="D60" s="16">
        <v>54</v>
      </c>
      <c r="E60" s="17">
        <f>Annuity!E60</f>
        <v>112734.52863015613</v>
      </c>
      <c r="F60" s="17">
        <f>E60/((1+INPUT!$C$6/1200)^D60)</f>
        <v>72016.870107289738</v>
      </c>
      <c r="G60" s="17">
        <f>Differentiated!E60</f>
        <v>104918.98148148147</v>
      </c>
      <c r="H60" s="17">
        <f>G60/((1+INPUT!$C$6/1200)^D60)</f>
        <v>67024.156245239312</v>
      </c>
    </row>
    <row r="61" spans="4:8" x14ac:dyDescent="0.3">
      <c r="D61" s="16">
        <v>55</v>
      </c>
      <c r="E61" s="17">
        <f>Annuity!E61</f>
        <v>112734.52863015613</v>
      </c>
      <c r="F61" s="17">
        <f>E61/((1+INPUT!$C$6/1200)^D61)</f>
        <v>71421.689362601406</v>
      </c>
      <c r="G61" s="17">
        <f>Differentiated!E61</f>
        <v>104513.88888888889</v>
      </c>
      <c r="H61" s="17">
        <f>G61/((1+INPUT!$C$6/1200)^D61)</f>
        <v>66213.59575457449</v>
      </c>
    </row>
    <row r="62" spans="4:8" x14ac:dyDescent="0.3">
      <c r="D62" s="16">
        <v>56</v>
      </c>
      <c r="E62" s="17">
        <f>Annuity!E62</f>
        <v>112734.52863015613</v>
      </c>
      <c r="F62" s="17">
        <f>E62/((1+INPUT!$C$6/1200)^D62)</f>
        <v>70831.427467042726</v>
      </c>
      <c r="G62" s="17">
        <f>Differentiated!E62</f>
        <v>104108.79629629629</v>
      </c>
      <c r="H62" s="17">
        <f>G62/((1+INPUT!$C$6/1200)^D62)</f>
        <v>65411.855117915205</v>
      </c>
    </row>
    <row r="63" spans="4:8" x14ac:dyDescent="0.3">
      <c r="D63" s="16">
        <v>57</v>
      </c>
      <c r="E63" s="17">
        <f>Annuity!E63</f>
        <v>112734.52863015613</v>
      </c>
      <c r="F63" s="17">
        <f>E63/((1+INPUT!$C$6/1200)^D63)</f>
        <v>70246.043768967997</v>
      </c>
      <c r="G63" s="17">
        <f>Differentiated!E63</f>
        <v>103703.70370370371</v>
      </c>
      <c r="H63" s="17">
        <f>G63/((1+INPUT!$C$6/1200)^D63)</f>
        <v>64618.843914922843</v>
      </c>
    </row>
    <row r="64" spans="4:8" x14ac:dyDescent="0.3">
      <c r="D64" s="16">
        <v>58</v>
      </c>
      <c r="E64" s="17">
        <f>Annuity!E64</f>
        <v>112734.52863015613</v>
      </c>
      <c r="F64" s="17">
        <f>E64/((1+INPUT!$C$6/1200)^D64)</f>
        <v>69665.497952695529</v>
      </c>
      <c r="G64" s="17">
        <f>Differentiated!E64</f>
        <v>103298.61111111111</v>
      </c>
      <c r="H64" s="17">
        <f>G64/((1+INPUT!$C$6/1200)^D64)</f>
        <v>63834.472617401821</v>
      </c>
    </row>
    <row r="65" spans="4:8" x14ac:dyDescent="0.3">
      <c r="D65" s="16">
        <v>59</v>
      </c>
      <c r="E65" s="17">
        <f>Annuity!E65</f>
        <v>112734.52863015613</v>
      </c>
      <c r="F65" s="17">
        <f>E65/((1+INPUT!$C$6/1200)^D65)</f>
        <v>69089.750035731107</v>
      </c>
      <c r="G65" s="17">
        <f>Differentiated!E65</f>
        <v>102893.51851851851</v>
      </c>
      <c r="H65" s="17">
        <f>G65/((1+INPUT!$C$6/1200)^D65)</f>
        <v>63058.652580729453</v>
      </c>
    </row>
    <row r="66" spans="4:8" x14ac:dyDescent="0.3">
      <c r="D66" s="16">
        <v>60</v>
      </c>
      <c r="E66" s="17">
        <f>Annuity!E66</f>
        <v>112734.52863015613</v>
      </c>
      <c r="F66" s="17">
        <f>E66/((1+INPUT!$C$6/1200)^D66)</f>
        <v>68518.760366014321</v>
      </c>
      <c r="G66" s="17">
        <f>Differentiated!E66</f>
        <v>102488.42592592593</v>
      </c>
      <c r="H66" s="17">
        <f>G66/((1+INPUT!$C$6/1200)^D66)</f>
        <v>62291.296035366249</v>
      </c>
    </row>
    <row r="67" spans="4:8" x14ac:dyDescent="0.3">
      <c r="D67" s="16">
        <v>61</v>
      </c>
      <c r="E67" s="17">
        <f>Annuity!E67</f>
        <v>112734.52863015613</v>
      </c>
      <c r="F67" s="17">
        <f>E67/((1+INPUT!$C$6/1200)^D67)</f>
        <v>67952.489619187763</v>
      </c>
      <c r="G67" s="17">
        <f>Differentiated!E67</f>
        <v>102083.33333333333</v>
      </c>
      <c r="H67" s="17">
        <f>G67/((1+INPUT!$C$6/1200)^D67)</f>
        <v>61532.316078446274</v>
      </c>
    </row>
    <row r="68" spans="4:8" x14ac:dyDescent="0.3">
      <c r="D68" s="16">
        <v>62</v>
      </c>
      <c r="E68" s="17">
        <f>Annuity!E68</f>
        <v>112734.52863015613</v>
      </c>
      <c r="F68" s="17">
        <f>E68/((1+INPUT!$C$6/1200)^D68)</f>
        <v>67390.898795888686</v>
      </c>
      <c r="G68" s="17">
        <f>Differentiated!E68</f>
        <v>101678.24074074074</v>
      </c>
      <c r="H68" s="17">
        <f>G68/((1+INPUT!$C$6/1200)^D68)</f>
        <v>60781.626665446725</v>
      </c>
    </row>
    <row r="69" spans="4:8" x14ac:dyDescent="0.3">
      <c r="D69" s="16">
        <v>63</v>
      </c>
      <c r="E69" s="17">
        <f>Annuity!E69</f>
        <v>112734.52863015613</v>
      </c>
      <c r="F69" s="17">
        <f>E69/((1+INPUT!$C$6/1200)^D69)</f>
        <v>66833.949219063172</v>
      </c>
      <c r="G69" s="17">
        <f>Differentiated!E69</f>
        <v>101273.14814814815</v>
      </c>
      <c r="H69" s="17">
        <f>G69/((1+INPUT!$C$6/1200)^D69)</f>
        <v>60039.142601936124</v>
      </c>
    </row>
    <row r="70" spans="4:8" x14ac:dyDescent="0.3">
      <c r="D70" s="16">
        <v>64</v>
      </c>
      <c r="E70" s="17">
        <f>Annuity!E70</f>
        <v>112734.52863015613</v>
      </c>
      <c r="F70" s="17">
        <f>E70/((1+INPUT!$C$6/1200)^D70)</f>
        <v>66281.602531302313</v>
      </c>
      <c r="G70" s="17">
        <f>Differentiated!E70</f>
        <v>100868.05555555555</v>
      </c>
      <c r="H70" s="17">
        <f>G70/((1+INPUT!$C$6/1200)^D70)</f>
        <v>59304.779535400041</v>
      </c>
    </row>
    <row r="71" spans="4:8" x14ac:dyDescent="0.3">
      <c r="D71" s="16">
        <v>65</v>
      </c>
      <c r="E71" s="17">
        <f>Annuity!E71</f>
        <v>112734.52863015613</v>
      </c>
      <c r="F71" s="17">
        <f>E71/((1+INPUT!$C$6/1200)^D71)</f>
        <v>65733.82069220065</v>
      </c>
      <c r="G71" s="17">
        <f>Differentiated!E71</f>
        <v>100462.96296296296</v>
      </c>
      <c r="H71" s="17">
        <f>G71/((1+INPUT!$C$6/1200)^D71)</f>
        <v>58578.453947144131</v>
      </c>
    </row>
    <row r="72" spans="4:8" x14ac:dyDescent="0.3">
      <c r="D72" s="16">
        <v>66</v>
      </c>
      <c r="E72" s="17">
        <f>Annuity!E72</f>
        <v>112734.52863015613</v>
      </c>
      <c r="F72" s="17">
        <f>E72/((1+INPUT!$C$6/1200)^D72)</f>
        <v>65190.565975736179</v>
      </c>
      <c r="G72" s="17">
        <f>Differentiated!E72</f>
        <v>100057.87037037036</v>
      </c>
      <c r="H72" s="17">
        <f>G72/((1+INPUT!$C$6/1200)^D72)</f>
        <v>57860.08314427326</v>
      </c>
    </row>
    <row r="73" spans="4:8" x14ac:dyDescent="0.3">
      <c r="D73" s="16">
        <v>67</v>
      </c>
      <c r="E73" s="17">
        <f>Annuity!E73</f>
        <v>112734.52863015613</v>
      </c>
      <c r="F73" s="17">
        <f>E73/((1+INPUT!$C$6/1200)^D73)</f>
        <v>64651.80096767225</v>
      </c>
      <c r="G73" s="17">
        <f>Differentiated!E73</f>
        <v>99652.777777777781</v>
      </c>
      <c r="H73" s="17">
        <f>G73/((1+INPUT!$C$6/1200)^D73)</f>
        <v>57149.585251746474</v>
      </c>
    </row>
    <row r="74" spans="4:8" x14ac:dyDescent="0.3">
      <c r="D74" s="16">
        <v>68</v>
      </c>
      <c r="E74" s="17">
        <f>Annuity!E74</f>
        <v>112734.52863015613</v>
      </c>
      <c r="F74" s="17">
        <f>E74/((1+INPUT!$C$6/1200)^D74)</f>
        <v>64117.488562980747</v>
      </c>
      <c r="G74" s="17">
        <f>Differentiated!E74</f>
        <v>99247.685185185182</v>
      </c>
      <c r="H74" s="17">
        <f>G74/((1+INPUT!$C$6/1200)^D74)</f>
        <v>56446.879204506695</v>
      </c>
    </row>
    <row r="75" spans="4:8" x14ac:dyDescent="0.3">
      <c r="D75" s="16">
        <v>69</v>
      </c>
      <c r="E75" s="17">
        <f>Annuity!E75</f>
        <v>112734.52863015613</v>
      </c>
      <c r="F75" s="17">
        <f>E75/((1+INPUT!$C$6/1200)^D75)</f>
        <v>63587.591963286701</v>
      </c>
      <c r="G75" s="17">
        <f>Differentiated!E75</f>
        <v>98842.592592592584</v>
      </c>
      <c r="H75" s="17">
        <f>G75/((1+INPUT!$C$6/1200)^D75)</f>
        <v>55751.884739684807</v>
      </c>
    </row>
    <row r="76" spans="4:8" x14ac:dyDescent="0.3">
      <c r="D76" s="16">
        <v>70</v>
      </c>
      <c r="E76" s="17">
        <f>Annuity!E76</f>
        <v>112734.52863015613</v>
      </c>
      <c r="F76" s="17">
        <f>E76/((1+INPUT!$C$6/1200)^D76)</f>
        <v>63062.074674333911</v>
      </c>
      <c r="G76" s="17">
        <f>Differentiated!E76</f>
        <v>98437.5</v>
      </c>
      <c r="H76" s="17">
        <f>G76/((1+INPUT!$C$6/1200)^D76)</f>
        <v>55064.522388877151</v>
      </c>
    </row>
    <row r="77" spans="4:8" x14ac:dyDescent="0.3">
      <c r="D77" s="16">
        <v>71</v>
      </c>
      <c r="E77" s="17">
        <f>Annuity!E77</f>
        <v>112734.52863015613</v>
      </c>
      <c r="F77" s="17">
        <f>E77/((1+INPUT!$C$6/1200)^D77)</f>
        <v>62540.900503471661</v>
      </c>
      <c r="G77" s="17">
        <f>Differentiated!E77</f>
        <v>98032.407407407401</v>
      </c>
      <c r="H77" s="17">
        <f>G77/((1+INPUT!$C$6/1200)^D77)</f>
        <v>54384.713470495961</v>
      </c>
    </row>
    <row r="78" spans="4:8" ht="15" thickBot="1" x14ac:dyDescent="0.35">
      <c r="D78" s="34">
        <v>72</v>
      </c>
      <c r="E78" s="35">
        <f>Annuity!E78</f>
        <v>112734.52863015613</v>
      </c>
      <c r="F78" s="35">
        <f>E78/((1+INPUT!$C$6/1200)^D78)</f>
        <v>62024.033557161973</v>
      </c>
      <c r="G78" s="35">
        <f>Differentiated!E78</f>
        <v>97627.314814814818</v>
      </c>
      <c r="H78" s="35">
        <f>G78/((1+INPUT!$C$6/1200)^D78)</f>
        <v>53712.380082191899</v>
      </c>
    </row>
    <row r="79" spans="4:8" ht="16.2" thickBot="1" x14ac:dyDescent="0.35">
      <c r="D79" s="36" t="s">
        <v>6</v>
      </c>
      <c r="E79" s="37">
        <f>SUM(E7:E78)</f>
        <v>8116886.061371238</v>
      </c>
      <c r="F79" s="37">
        <f>SUM(F7:F78)</f>
        <v>6085259.4087593257</v>
      </c>
      <c r="G79" s="37">
        <f>SUM(G7:G78)</f>
        <v>8064583.333333333</v>
      </c>
      <c r="H79" s="38">
        <f>SUM(H7:H78)</f>
        <v>6123962.9051857842</v>
      </c>
    </row>
  </sheetData>
  <mergeCells count="7">
    <mergeCell ref="N5:O5"/>
    <mergeCell ref="J11:K11"/>
    <mergeCell ref="D5:H5"/>
    <mergeCell ref="J6:J7"/>
    <mergeCell ref="J8:J9"/>
    <mergeCell ref="J5:L5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</vt:lpstr>
      <vt:lpstr>Annuity</vt:lpstr>
      <vt:lpstr>Differentiated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Наиль Ахмадиев</dc:creator>
  <cp:lastModifiedBy>Наиль Ахмадиев</cp:lastModifiedBy>
  <dcterms:created xsi:type="dcterms:W3CDTF">2015-06-05T18:19:34Z</dcterms:created>
  <dcterms:modified xsi:type="dcterms:W3CDTF">2025-12-17T15:16:12Z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67e166-4b10-4d44-9951-ddc92040c9bd_Enabled">
    <vt:lpwstr>true</vt:lpwstr>
  </property>
  <property fmtid="{D5CDD505-2E9C-101B-9397-08002B2CF9AE}" pid="3" name="MSIP_Label_5667e166-4b10-4d44-9951-ddc92040c9bd_SetDate">
    <vt:lpwstr>2025-01-24T13:37:14Z</vt:lpwstr>
  </property>
  <property fmtid="{D5CDD505-2E9C-101B-9397-08002B2CF9AE}" pid="4" name="MSIP_Label_5667e166-4b10-4d44-9951-ddc92040c9bd_Method">
    <vt:lpwstr>Standard</vt:lpwstr>
  </property>
  <property fmtid="{D5CDD505-2E9C-101B-9397-08002B2CF9AE}" pid="5" name="MSIP_Label_5667e166-4b10-4d44-9951-ddc92040c9bd_Name">
    <vt:lpwstr>С маркировкой</vt:lpwstr>
  </property>
  <property fmtid="{D5CDD505-2E9C-101B-9397-08002B2CF9AE}" pid="6" name="MSIP_Label_5667e166-4b10-4d44-9951-ddc92040c9bd_SiteId">
    <vt:lpwstr>38598580-1f17-4a12-918c-077d560b949f</vt:lpwstr>
  </property>
  <property fmtid="{D5CDD505-2E9C-101B-9397-08002B2CF9AE}" pid="7" name="MSIP_Label_5667e166-4b10-4d44-9951-ddc92040c9bd_ActionId">
    <vt:lpwstr>25017af9-db27-4954-8b35-6d33618dafbe</vt:lpwstr>
  </property>
  <property fmtid="{D5CDD505-2E9C-101B-9397-08002B2CF9AE}" pid="8" name="MSIP_Label_5667e166-4b10-4d44-9951-ddc92040c9bd_ContentBits">
    <vt:lpwstr>1</vt:lpwstr>
  </property>
</Properties>
</file>